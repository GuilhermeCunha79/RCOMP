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IdeaProjects\rcomp-21-22-dl-g4\doc\sprint1\1201484\"/>
    </mc:Choice>
  </mc:AlternateContent>
  <xr:revisionPtr revIDLastSave="0" documentId="13_ncr:1_{7854CC49-2D1C-4D88-91A6-03473DFE9E45}" xr6:coauthVersionLast="47" xr6:coauthVersionMax="47" xr10:uidLastSave="{00000000-0000-0000-0000-000000000000}"/>
  <bookViews>
    <workbookView xWindow="-108" yWindow="-108" windowWidth="23256" windowHeight="12456" xr2:uid="{D7E0C6D3-2A9E-40D4-9420-9F2B861FE728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1" l="1"/>
  <c r="N11" i="1"/>
  <c r="M13" i="1"/>
  <c r="M11" i="1"/>
  <c r="N12" i="1"/>
  <c r="M12" i="1"/>
  <c r="M17" i="1"/>
  <c r="M19" i="1" s="1"/>
  <c r="M18" i="1"/>
  <c r="Q29" i="1"/>
  <c r="Q28" i="1"/>
  <c r="Q27" i="1"/>
  <c r="Q26" i="1"/>
  <c r="Q25" i="1"/>
  <c r="Q24" i="1"/>
  <c r="Q23" i="1"/>
  <c r="Q22" i="1"/>
  <c r="Q21" i="1"/>
  <c r="Q20" i="1"/>
  <c r="Q19" i="1"/>
  <c r="Q13" i="1"/>
  <c r="Q18" i="1"/>
  <c r="Q12" i="1"/>
  <c r="Q17" i="1"/>
  <c r="Q16" i="1"/>
  <c r="Q15" i="1"/>
  <c r="Q14" i="1"/>
  <c r="F35" i="1"/>
  <c r="F34" i="1"/>
  <c r="F33" i="1"/>
  <c r="F32" i="1"/>
  <c r="F31" i="1"/>
  <c r="F30" i="1"/>
  <c r="F29" i="1"/>
  <c r="F28" i="1"/>
  <c r="F27" i="1"/>
  <c r="F26" i="1"/>
  <c r="F25" i="1"/>
  <c r="F24" i="1"/>
  <c r="D35" i="1"/>
  <c r="D34" i="1"/>
  <c r="D33" i="1"/>
  <c r="D32" i="1"/>
  <c r="D31" i="1"/>
  <c r="D30" i="1"/>
  <c r="D29" i="1"/>
  <c r="D28" i="1"/>
  <c r="D27" i="1"/>
  <c r="D26" i="1"/>
  <c r="D25" i="1"/>
  <c r="D24" i="1"/>
  <c r="F17" i="1"/>
  <c r="F16" i="1"/>
  <c r="F15" i="1"/>
  <c r="F14" i="1"/>
  <c r="F13" i="1"/>
  <c r="F12" i="1"/>
  <c r="D12" i="1"/>
  <c r="D17" i="1"/>
  <c r="D16" i="1"/>
  <c r="D15" i="1"/>
  <c r="D14" i="1"/>
  <c r="D13" i="1"/>
  <c r="G29" i="1" l="1"/>
  <c r="G12" i="1"/>
  <c r="G14" i="1"/>
  <c r="G15" i="1"/>
  <c r="G26" i="1"/>
  <c r="G34" i="1"/>
  <c r="G17" i="1"/>
  <c r="G35" i="1"/>
  <c r="G27" i="1"/>
  <c r="G16" i="1"/>
  <c r="G31" i="1"/>
  <c r="G24" i="1"/>
  <c r="G32" i="1"/>
  <c r="G28" i="1"/>
  <c r="G30" i="1"/>
  <c r="G25" i="1"/>
  <c r="G33" i="1"/>
  <c r="G13" i="1"/>
</calcChain>
</file>

<file path=xl/sharedStrings.xml><?xml version="1.0" encoding="utf-8"?>
<sst xmlns="http://schemas.openxmlformats.org/spreadsheetml/2006/main" count="94" uniqueCount="55">
  <si>
    <t xml:space="preserve">Building 2 </t>
  </si>
  <si>
    <t>Scale</t>
  </si>
  <si>
    <t>cm</t>
  </si>
  <si>
    <t>m</t>
  </si>
  <si>
    <t>Ground Floor</t>
  </si>
  <si>
    <t>Area</t>
  </si>
  <si>
    <t xml:space="preserve">Outlets </t>
  </si>
  <si>
    <t>Division</t>
  </si>
  <si>
    <t>m²</t>
  </si>
  <si>
    <t>Width</t>
  </si>
  <si>
    <t>Length</t>
  </si>
  <si>
    <t>2.0.1</t>
  </si>
  <si>
    <t>2.0.2</t>
  </si>
  <si>
    <t>2.0.3</t>
  </si>
  <si>
    <t>2.0.4</t>
  </si>
  <si>
    <t>2.0.5</t>
  </si>
  <si>
    <t>2.0.6</t>
  </si>
  <si>
    <t xml:space="preserve">Floor one </t>
  </si>
  <si>
    <t>2.1.1</t>
  </si>
  <si>
    <t>2.1.2</t>
  </si>
  <si>
    <t>2.1.3</t>
  </si>
  <si>
    <t>2.1.4</t>
  </si>
  <si>
    <t>2.1.5</t>
  </si>
  <si>
    <t>2.1.6</t>
  </si>
  <si>
    <t>2.1.7</t>
  </si>
  <si>
    <t>2.1.8</t>
  </si>
  <si>
    <t>2.1.9</t>
  </si>
  <si>
    <t>2.1.10</t>
  </si>
  <si>
    <t>2.1.11</t>
  </si>
  <si>
    <t>2.1.12</t>
  </si>
  <si>
    <t>Floors</t>
  </si>
  <si>
    <t>optical fiber cable (m)</t>
  </si>
  <si>
    <t>cat7 copper cable (m)</t>
  </si>
  <si>
    <t>Total outlets</t>
  </si>
  <si>
    <t>total</t>
  </si>
  <si>
    <t>Equipment</t>
  </si>
  <si>
    <t>Floor 0</t>
  </si>
  <si>
    <t>Floor 1</t>
  </si>
  <si>
    <t>IC</t>
  </si>
  <si>
    <t>HC</t>
  </si>
  <si>
    <t>CP</t>
  </si>
  <si>
    <t>Access Point</t>
  </si>
  <si>
    <t>Patch Panels Copper Cat7</t>
  </si>
  <si>
    <t>Patch Panels Optical Fiber</t>
  </si>
  <si>
    <t>Switches Number</t>
  </si>
  <si>
    <t>Telecomunications Enclosures (U units)</t>
  </si>
  <si>
    <t xml:space="preserve">4 (24 doors) for CPs in rooms 3, 4 and 5, and HC from room 1  </t>
  </si>
  <si>
    <t>1(24 doors) on IC from room 1</t>
  </si>
  <si>
    <t>4 (19" and 9U)</t>
  </si>
  <si>
    <t xml:space="preserve">4 (24 doors) for CPs in rooms 4, 7 and 11, and HC from room 1 </t>
  </si>
  <si>
    <t xml:space="preserve">5 (24 doors) for CPs in rooms 3, 4 and 5, and HC from room 1  </t>
  </si>
  <si>
    <t xml:space="preserve">3 (24 doors) for CPs in rooms 3, 4 and 5  </t>
  </si>
  <si>
    <t xml:space="preserve">3 (24 doors) for CPs in rooms 4, 7 and 11 </t>
  </si>
  <si>
    <t>cat6A copper cable</t>
  </si>
  <si>
    <t>Patch Panels Copper Cat6A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</si>
</sst>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/>
    <xf numFmtId="0" fontId="0" fillId="0" borderId="1" xfId="0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0" fillId="0" borderId="0" xfId="0" applyFill="1"/>
    <xf numFmtId="0" fontId="1" fillId="0" borderId="0" xfId="0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D51F-F9A5-4113-954E-EE31116762B7}">
  <dimension ref="A3:Q40"/>
  <sheetViews>
    <sheetView tabSelected="1" zoomScale="85" zoomScaleNormal="85" workbookViewId="0">
      <selection activeCell="J24" sqref="J24"/>
    </sheetView>
  </sheetViews>
  <sheetFormatPr defaultRowHeight="14.4" x14ac:dyDescent="0.3"/>
  <cols>
    <col min="1" max="1" width="16.21875" customWidth="1"/>
    <col min="9" max="9" width="17.77734375" customWidth="1"/>
    <col min="12" max="12" width="11.5546875" customWidth="1"/>
    <col min="13" max="13" width="28.33203125" customWidth="1"/>
    <col min="14" max="14" width="29" customWidth="1"/>
    <col min="15" max="15" width="26.77734375" customWidth="1"/>
    <col min="16" max="16" width="31.88671875" customWidth="1"/>
    <col min="17" max="17" width="40.33203125" customWidth="1"/>
  </cols>
  <sheetData>
    <row r="3" spans="1:17" ht="18" x14ac:dyDescent="0.35">
      <c r="A3" s="20" t="s">
        <v>0</v>
      </c>
    </row>
    <row r="4" spans="1:17" ht="15.6" x14ac:dyDescent="0.3">
      <c r="C4" s="10" t="s">
        <v>2</v>
      </c>
      <c r="D4" s="10" t="s">
        <v>3</v>
      </c>
    </row>
    <row r="5" spans="1:17" ht="15.6" x14ac:dyDescent="0.3">
      <c r="B5" s="10" t="s">
        <v>1</v>
      </c>
      <c r="C5" s="17">
        <v>2.8</v>
      </c>
      <c r="D5" s="17">
        <v>5</v>
      </c>
    </row>
    <row r="8" spans="1:17" x14ac:dyDescent="0.3">
      <c r="C8" s="1"/>
    </row>
    <row r="9" spans="1:17" ht="18" x14ac:dyDescent="0.35">
      <c r="A9" s="20" t="s">
        <v>4</v>
      </c>
      <c r="H9" s="16"/>
    </row>
    <row r="10" spans="1:17" ht="15.6" x14ac:dyDescent="0.3">
      <c r="C10" s="2" t="s">
        <v>9</v>
      </c>
      <c r="D10" s="3"/>
      <c r="E10" s="6" t="s">
        <v>10</v>
      </c>
      <c r="F10" s="7"/>
      <c r="G10" s="5" t="s">
        <v>5</v>
      </c>
      <c r="H10" s="21"/>
      <c r="I10" s="22"/>
      <c r="L10" s="12" t="s">
        <v>30</v>
      </c>
      <c r="M10" s="11" t="s">
        <v>32</v>
      </c>
      <c r="N10" s="12" t="s">
        <v>31</v>
      </c>
      <c r="Q10" s="12" t="s">
        <v>53</v>
      </c>
    </row>
    <row r="11" spans="1:17" ht="15.6" x14ac:dyDescent="0.3">
      <c r="B11" s="10" t="s">
        <v>7</v>
      </c>
      <c r="C11" s="4" t="s">
        <v>2</v>
      </c>
      <c r="D11" s="4" t="s">
        <v>3</v>
      </c>
      <c r="E11" s="8" t="s">
        <v>2</v>
      </c>
      <c r="F11" s="8" t="s">
        <v>3</v>
      </c>
      <c r="G11" s="4" t="s">
        <v>8</v>
      </c>
      <c r="H11" s="9" t="s">
        <v>6</v>
      </c>
      <c r="L11" s="4">
        <v>0</v>
      </c>
      <c r="M11" s="18">
        <f>(20.2*D5)/C5</f>
        <v>36.071428571428577</v>
      </c>
      <c r="N11" s="17">
        <f>(0.7*D5)/C5</f>
        <v>1.25</v>
      </c>
      <c r="P11" s="10" t="s">
        <v>7</v>
      </c>
      <c r="Q11" s="4" t="s">
        <v>3</v>
      </c>
    </row>
    <row r="12" spans="1:17" x14ac:dyDescent="0.3">
      <c r="B12" s="8" t="s">
        <v>11</v>
      </c>
      <c r="C12" s="17">
        <v>1.7</v>
      </c>
      <c r="D12" s="18">
        <f>(C12*D5)/C5</f>
        <v>3.035714285714286</v>
      </c>
      <c r="E12" s="17">
        <v>2</v>
      </c>
      <c r="F12" s="18">
        <f>(E12*D5)/C5</f>
        <v>3.5714285714285716</v>
      </c>
      <c r="G12" s="18">
        <f>D12*F12</f>
        <v>10.84183673469388</v>
      </c>
      <c r="H12" s="17">
        <v>0</v>
      </c>
      <c r="L12" s="4">
        <v>1</v>
      </c>
      <c r="M12" s="18">
        <f>(22.5*D5)/C5</f>
        <v>40.178571428571431</v>
      </c>
      <c r="N12" s="17">
        <f>(0*D5)/C5</f>
        <v>0</v>
      </c>
      <c r="P12" s="8" t="s">
        <v>11</v>
      </c>
      <c r="Q12" s="17">
        <f>(0*D5)/C5</f>
        <v>0</v>
      </c>
    </row>
    <row r="13" spans="1:17" x14ac:dyDescent="0.3">
      <c r="B13" s="8" t="s">
        <v>12</v>
      </c>
      <c r="C13" s="17">
        <v>3.3</v>
      </c>
      <c r="D13" s="18">
        <f>(C13*D5)/C5</f>
        <v>5.8928571428571432</v>
      </c>
      <c r="E13" s="17">
        <v>2.9</v>
      </c>
      <c r="F13" s="18">
        <f>(E13*D5)/C5</f>
        <v>5.1785714285714288</v>
      </c>
      <c r="G13" s="18">
        <f t="shared" ref="G13:G17" si="0">D13*F13</f>
        <v>30.516581632653065</v>
      </c>
      <c r="H13" s="17">
        <v>8</v>
      </c>
      <c r="L13" s="13" t="s">
        <v>34</v>
      </c>
      <c r="M13" s="18">
        <f>SUM(M11:M12)</f>
        <v>76.25</v>
      </c>
      <c r="N13" s="17">
        <f>SUM(N11:N12)</f>
        <v>1.25</v>
      </c>
      <c r="P13" s="8" t="s">
        <v>12</v>
      </c>
      <c r="Q13" s="18">
        <f>(6.7*D5)/C5</f>
        <v>11.964285714285715</v>
      </c>
    </row>
    <row r="14" spans="1:17" x14ac:dyDescent="0.3">
      <c r="B14" s="8" t="s">
        <v>13</v>
      </c>
      <c r="C14" s="17">
        <v>5.6</v>
      </c>
      <c r="D14" s="19">
        <f>(C14*D5)/C5</f>
        <v>10</v>
      </c>
      <c r="E14" s="17">
        <v>4.8</v>
      </c>
      <c r="F14" s="18">
        <f>(E14*D5)/C5</f>
        <v>8.5714285714285712</v>
      </c>
      <c r="G14" s="18">
        <f t="shared" si="0"/>
        <v>85.714285714285708</v>
      </c>
      <c r="H14" s="17">
        <v>18</v>
      </c>
      <c r="P14" s="8" t="s">
        <v>13</v>
      </c>
      <c r="Q14" s="18">
        <f>(24.2*D5)/C5</f>
        <v>43.214285714285715</v>
      </c>
    </row>
    <row r="15" spans="1:17" x14ac:dyDescent="0.3">
      <c r="B15" s="8" t="s">
        <v>14</v>
      </c>
      <c r="C15" s="17">
        <v>4.8</v>
      </c>
      <c r="D15" s="18">
        <f>(C15*D5)/C5</f>
        <v>8.5714285714285712</v>
      </c>
      <c r="E15" s="17">
        <v>1.9</v>
      </c>
      <c r="F15" s="18">
        <f>(E15*D5)/C5</f>
        <v>3.3928571428571432</v>
      </c>
      <c r="G15" s="18">
        <f t="shared" si="0"/>
        <v>29.081632653061227</v>
      </c>
      <c r="H15" s="17">
        <v>6</v>
      </c>
      <c r="P15" s="8" t="s">
        <v>14</v>
      </c>
      <c r="Q15" s="18">
        <f>(12.7*D5)/C5</f>
        <v>22.678571428571431</v>
      </c>
    </row>
    <row r="16" spans="1:17" x14ac:dyDescent="0.3">
      <c r="B16" s="8" t="s">
        <v>15</v>
      </c>
      <c r="C16" s="17">
        <v>4.8</v>
      </c>
      <c r="D16" s="18">
        <f>(C16*D5)/C5</f>
        <v>8.5714285714285712</v>
      </c>
      <c r="E16" s="17">
        <v>1.9</v>
      </c>
      <c r="F16" s="18">
        <f>(E16*D5)/C5</f>
        <v>3.3928571428571432</v>
      </c>
      <c r="G16" s="18">
        <f t="shared" si="0"/>
        <v>29.081632653061227</v>
      </c>
      <c r="H16" s="17">
        <v>6</v>
      </c>
      <c r="L16" s="12" t="s">
        <v>30</v>
      </c>
      <c r="M16" s="11" t="s">
        <v>33</v>
      </c>
      <c r="P16" s="8" t="s">
        <v>15</v>
      </c>
      <c r="Q16" s="18">
        <f>(12.5*D5)/C5</f>
        <v>22.321428571428573</v>
      </c>
    </row>
    <row r="17" spans="1:17" x14ac:dyDescent="0.3">
      <c r="B17" s="8" t="s">
        <v>16</v>
      </c>
      <c r="C17" s="17">
        <v>4.8</v>
      </c>
      <c r="D17" s="18">
        <f>(C17*D5)/C5</f>
        <v>8.5714285714285712</v>
      </c>
      <c r="E17" s="17">
        <v>1.9</v>
      </c>
      <c r="F17" s="18">
        <f>(E17*D5)/C5</f>
        <v>3.3928571428571432</v>
      </c>
      <c r="G17" s="18">
        <f t="shared" si="0"/>
        <v>29.081632653061227</v>
      </c>
      <c r="H17" s="17">
        <v>6</v>
      </c>
      <c r="L17" s="4">
        <v>0</v>
      </c>
      <c r="M17" s="17">
        <f>SUM(H12:H17)</f>
        <v>44</v>
      </c>
      <c r="P17" s="8" t="s">
        <v>16</v>
      </c>
      <c r="Q17" s="18">
        <f>(14.2*D5)/C5</f>
        <v>25.357142857142858</v>
      </c>
    </row>
    <row r="18" spans="1:17" x14ac:dyDescent="0.3">
      <c r="L18" s="4">
        <v>1</v>
      </c>
      <c r="M18" s="17">
        <f>SUM(H24:H35)</f>
        <v>48</v>
      </c>
      <c r="P18" s="8" t="s">
        <v>18</v>
      </c>
      <c r="Q18" s="17">
        <f>(0*D5)/C5</f>
        <v>0</v>
      </c>
    </row>
    <row r="19" spans="1:17" x14ac:dyDescent="0.3">
      <c r="L19" s="13" t="s">
        <v>34</v>
      </c>
      <c r="M19" s="17">
        <f>SUM(M17:M18)</f>
        <v>92</v>
      </c>
      <c r="P19" s="8" t="s">
        <v>19</v>
      </c>
      <c r="Q19" s="18">
        <f>(2.7*D5)/C5</f>
        <v>4.8214285714285721</v>
      </c>
    </row>
    <row r="20" spans="1:17" x14ac:dyDescent="0.3">
      <c r="P20" s="8" t="s">
        <v>20</v>
      </c>
      <c r="Q20" s="18">
        <f>(3.9*D5)/C5</f>
        <v>6.9642857142857144</v>
      </c>
    </row>
    <row r="21" spans="1:17" ht="18" x14ac:dyDescent="0.35">
      <c r="A21" s="20" t="s">
        <v>17</v>
      </c>
      <c r="H21" s="16"/>
      <c r="I21" s="16"/>
      <c r="P21" s="8" t="s">
        <v>21</v>
      </c>
      <c r="Q21" s="18">
        <f>(3.3*D5)/C5</f>
        <v>5.8928571428571432</v>
      </c>
    </row>
    <row r="22" spans="1:17" ht="15.6" x14ac:dyDescent="0.3">
      <c r="C22" s="2" t="s">
        <v>9</v>
      </c>
      <c r="D22" s="3"/>
      <c r="E22" s="6" t="s">
        <v>10</v>
      </c>
      <c r="F22" s="7"/>
      <c r="G22" s="5" t="s">
        <v>5</v>
      </c>
      <c r="H22" s="21"/>
      <c r="I22" s="23"/>
      <c r="L22" s="12" t="s">
        <v>35</v>
      </c>
      <c r="M22" s="11" t="s">
        <v>36</v>
      </c>
      <c r="N22" s="12" t="s">
        <v>37</v>
      </c>
      <c r="P22" s="8" t="s">
        <v>22</v>
      </c>
      <c r="Q22" s="18">
        <f>(3.8*D5)/C5</f>
        <v>6.7857142857142865</v>
      </c>
    </row>
    <row r="23" spans="1:17" ht="15.6" x14ac:dyDescent="0.3">
      <c r="B23" s="10" t="s">
        <v>7</v>
      </c>
      <c r="C23" s="4" t="s">
        <v>2</v>
      </c>
      <c r="D23" s="4" t="s">
        <v>3</v>
      </c>
      <c r="E23" s="8" t="s">
        <v>2</v>
      </c>
      <c r="F23" s="8" t="s">
        <v>3</v>
      </c>
      <c r="G23" s="4" t="s">
        <v>8</v>
      </c>
      <c r="H23" s="9" t="s">
        <v>6</v>
      </c>
      <c r="I23" s="24"/>
      <c r="L23" s="12" t="s">
        <v>38</v>
      </c>
      <c r="M23" s="17">
        <v>1</v>
      </c>
      <c r="N23" s="17">
        <v>0</v>
      </c>
      <c r="P23" s="8" t="s">
        <v>23</v>
      </c>
      <c r="Q23" s="18">
        <f>(2.8*D5)/C5</f>
        <v>5</v>
      </c>
    </row>
    <row r="24" spans="1:17" x14ac:dyDescent="0.3">
      <c r="B24" s="8" t="s">
        <v>18</v>
      </c>
      <c r="C24" s="17">
        <v>1.7</v>
      </c>
      <c r="D24" s="18">
        <f>(C24*D5)/C5</f>
        <v>3.035714285714286</v>
      </c>
      <c r="E24" s="17">
        <v>2</v>
      </c>
      <c r="F24" s="18">
        <f>(E24*D5)/C5</f>
        <v>3.5714285714285716</v>
      </c>
      <c r="G24" s="18">
        <f t="shared" ref="G24:G35" si="1">D24*F24</f>
        <v>10.84183673469388</v>
      </c>
      <c r="H24" s="17">
        <v>0</v>
      </c>
      <c r="L24" s="12" t="s">
        <v>39</v>
      </c>
      <c r="M24" s="17">
        <v>1</v>
      </c>
      <c r="N24" s="17">
        <v>1</v>
      </c>
      <c r="P24" s="8" t="s">
        <v>24</v>
      </c>
      <c r="Q24" s="18">
        <f>(5.6*D5)/C5</f>
        <v>10</v>
      </c>
    </row>
    <row r="25" spans="1:17" x14ac:dyDescent="0.3">
      <c r="B25" s="8" t="s">
        <v>19</v>
      </c>
      <c r="C25" s="17">
        <v>1.7</v>
      </c>
      <c r="D25" s="18">
        <f>(C25*D5)/C5</f>
        <v>3.035714285714286</v>
      </c>
      <c r="E25" s="17">
        <v>2.9</v>
      </c>
      <c r="F25" s="18">
        <f>(E25*D5)/C5</f>
        <v>5.1785714285714288</v>
      </c>
      <c r="G25" s="18">
        <f t="shared" si="1"/>
        <v>15.720663265306126</v>
      </c>
      <c r="H25" s="17">
        <v>4</v>
      </c>
      <c r="L25" s="12" t="s">
        <v>41</v>
      </c>
      <c r="M25" s="17">
        <v>1</v>
      </c>
      <c r="N25" s="17">
        <v>1</v>
      </c>
      <c r="P25" s="8" t="s">
        <v>25</v>
      </c>
      <c r="Q25" s="18">
        <f>(6.5*D5)/C5</f>
        <v>11.607142857142858</v>
      </c>
    </row>
    <row r="26" spans="1:17" x14ac:dyDescent="0.3">
      <c r="B26" s="8" t="s">
        <v>20</v>
      </c>
      <c r="C26" s="17">
        <v>1.7</v>
      </c>
      <c r="D26" s="18">
        <f>(C26*D5)/C5</f>
        <v>3.035714285714286</v>
      </c>
      <c r="E26" s="17">
        <v>2.9</v>
      </c>
      <c r="F26" s="18">
        <f>(E26*D5)/C5</f>
        <v>5.1785714285714288</v>
      </c>
      <c r="G26" s="18">
        <f t="shared" si="1"/>
        <v>15.720663265306126</v>
      </c>
      <c r="H26" s="17">
        <v>4</v>
      </c>
      <c r="L26" s="12" t="s">
        <v>40</v>
      </c>
      <c r="M26" s="17">
        <v>3</v>
      </c>
      <c r="N26" s="17">
        <v>3</v>
      </c>
      <c r="P26" s="8" t="s">
        <v>26</v>
      </c>
      <c r="Q26" s="18">
        <f>(4.2*D5)/C5</f>
        <v>7.5000000000000009</v>
      </c>
    </row>
    <row r="27" spans="1:17" x14ac:dyDescent="0.3">
      <c r="B27" s="8" t="s">
        <v>21</v>
      </c>
      <c r="C27" s="17">
        <v>1.5</v>
      </c>
      <c r="D27" s="18">
        <f>(C27*D5)/C5</f>
        <v>2.6785714285714288</v>
      </c>
      <c r="E27" s="17">
        <v>2.9</v>
      </c>
      <c r="F27" s="18">
        <f>(E27*D5)/C5</f>
        <v>5.1785714285714288</v>
      </c>
      <c r="G27" s="18">
        <f t="shared" si="1"/>
        <v>13.871173469387758</v>
      </c>
      <c r="H27" s="17">
        <v>4</v>
      </c>
      <c r="P27" s="8" t="s">
        <v>27</v>
      </c>
      <c r="Q27" s="18">
        <f>(5.4*D5)/C5</f>
        <v>9.6428571428571441</v>
      </c>
    </row>
    <row r="28" spans="1:17" x14ac:dyDescent="0.3">
      <c r="B28" s="8" t="s">
        <v>22</v>
      </c>
      <c r="C28" s="17">
        <v>1.5</v>
      </c>
      <c r="D28" s="18">
        <f>(C28*D5)/C5</f>
        <v>2.6785714285714288</v>
      </c>
      <c r="E28" s="17">
        <v>2.9</v>
      </c>
      <c r="F28" s="18">
        <f>(E28*D5)/C5</f>
        <v>5.1785714285714288</v>
      </c>
      <c r="G28" s="18">
        <f t="shared" si="1"/>
        <v>13.871173469387758</v>
      </c>
      <c r="H28" s="17">
        <v>4</v>
      </c>
      <c r="P28" s="8" t="s">
        <v>28</v>
      </c>
      <c r="Q28" s="18">
        <f>(4.9*D5)/C5</f>
        <v>8.75</v>
      </c>
    </row>
    <row r="29" spans="1:17" x14ac:dyDescent="0.3">
      <c r="B29" s="8" t="s">
        <v>23</v>
      </c>
      <c r="C29" s="17">
        <v>1.9</v>
      </c>
      <c r="D29" s="18">
        <f>(C29*D5)/C5</f>
        <v>3.3928571428571432</v>
      </c>
      <c r="E29" s="17">
        <v>2.9</v>
      </c>
      <c r="F29" s="18">
        <f>(E29*D5)/C5</f>
        <v>5.1785714285714288</v>
      </c>
      <c r="G29" s="18">
        <f t="shared" si="1"/>
        <v>17.570153061224492</v>
      </c>
      <c r="H29" s="17">
        <v>4</v>
      </c>
      <c r="P29" s="8" t="s">
        <v>29</v>
      </c>
      <c r="Q29" s="18">
        <f>(4.3*D5)/C5</f>
        <v>7.6785714285714288</v>
      </c>
    </row>
    <row r="30" spans="1:17" x14ac:dyDescent="0.3">
      <c r="B30" s="8" t="s">
        <v>24</v>
      </c>
      <c r="C30" s="17">
        <v>3.6</v>
      </c>
      <c r="D30" s="18">
        <f>(C30*D5)/C5</f>
        <v>6.4285714285714288</v>
      </c>
      <c r="E30" s="17">
        <v>1.8</v>
      </c>
      <c r="F30" s="18">
        <f>(E30*D5)/C5</f>
        <v>3.2142857142857144</v>
      </c>
      <c r="G30" s="18">
        <f t="shared" si="1"/>
        <v>20.663265306122451</v>
      </c>
      <c r="H30" s="17">
        <v>6</v>
      </c>
    </row>
    <row r="31" spans="1:17" x14ac:dyDescent="0.3">
      <c r="B31" s="8" t="s">
        <v>25</v>
      </c>
      <c r="C31" s="17">
        <v>3.6</v>
      </c>
      <c r="D31" s="18">
        <f>(C31*D5)/C5</f>
        <v>6.4285714285714288</v>
      </c>
      <c r="E31" s="17">
        <v>1.8</v>
      </c>
      <c r="F31" s="18">
        <f>(E31*D5)/C5</f>
        <v>3.2142857142857144</v>
      </c>
      <c r="G31" s="18">
        <f t="shared" si="1"/>
        <v>20.663265306122451</v>
      </c>
      <c r="H31" s="17">
        <v>6</v>
      </c>
    </row>
    <row r="32" spans="1:17" x14ac:dyDescent="0.3">
      <c r="B32" s="8" t="s">
        <v>26</v>
      </c>
      <c r="C32" s="17">
        <v>1.7</v>
      </c>
      <c r="D32" s="18">
        <f>(C32*D5)/C5</f>
        <v>3.035714285714286</v>
      </c>
      <c r="E32" s="17">
        <v>3</v>
      </c>
      <c r="F32" s="18">
        <f>(E32*D5)/C5</f>
        <v>5.3571428571428577</v>
      </c>
      <c r="G32" s="18">
        <f t="shared" si="1"/>
        <v>16.262755102040821</v>
      </c>
      <c r="H32" s="17">
        <v>4</v>
      </c>
    </row>
    <row r="33" spans="2:17" x14ac:dyDescent="0.3">
      <c r="B33" s="8" t="s">
        <v>27</v>
      </c>
      <c r="C33" s="17">
        <v>1.7</v>
      </c>
      <c r="D33" s="18">
        <f>(C33*D5)/C5</f>
        <v>3.035714285714286</v>
      </c>
      <c r="E33" s="17">
        <v>3</v>
      </c>
      <c r="F33" s="18">
        <f>(E33*D5)/C5</f>
        <v>5.3571428571428577</v>
      </c>
      <c r="G33" s="18">
        <f t="shared" si="1"/>
        <v>16.262755102040821</v>
      </c>
      <c r="H33" s="17">
        <v>4</v>
      </c>
    </row>
    <row r="34" spans="2:17" x14ac:dyDescent="0.3">
      <c r="B34" s="8" t="s">
        <v>28</v>
      </c>
      <c r="C34" s="17">
        <v>1.7</v>
      </c>
      <c r="D34" s="18">
        <f>(C34*D5)/C5</f>
        <v>3.035714285714286</v>
      </c>
      <c r="E34" s="17">
        <v>3</v>
      </c>
      <c r="F34" s="18">
        <f>(E34*D5)/C5</f>
        <v>5.3571428571428577</v>
      </c>
      <c r="G34" s="18">
        <f t="shared" si="1"/>
        <v>16.262755102040821</v>
      </c>
      <c r="H34" s="17">
        <v>4</v>
      </c>
    </row>
    <row r="35" spans="2:17" x14ac:dyDescent="0.3">
      <c r="B35" s="8" t="s">
        <v>29</v>
      </c>
      <c r="C35" s="17">
        <v>2</v>
      </c>
      <c r="D35" s="18">
        <f>(C35*D5)/C5</f>
        <v>3.5714285714285716</v>
      </c>
      <c r="E35" s="17">
        <v>3</v>
      </c>
      <c r="F35" s="18">
        <f>(E35*D5)/C5</f>
        <v>5.3571428571428577</v>
      </c>
      <c r="G35" s="18">
        <f t="shared" si="1"/>
        <v>19.132653061224492</v>
      </c>
      <c r="H35" s="17">
        <v>4</v>
      </c>
    </row>
    <row r="36" spans="2:17" x14ac:dyDescent="0.3">
      <c r="H36" s="1"/>
    </row>
    <row r="38" spans="2:17" x14ac:dyDescent="0.3">
      <c r="L38" s="12" t="s">
        <v>30</v>
      </c>
      <c r="M38" s="11" t="s">
        <v>54</v>
      </c>
      <c r="N38" s="12" t="s">
        <v>42</v>
      </c>
      <c r="O38" s="11" t="s">
        <v>43</v>
      </c>
      <c r="P38" s="12" t="s">
        <v>44</v>
      </c>
      <c r="Q38" s="11" t="s">
        <v>45</v>
      </c>
    </row>
    <row r="39" spans="2:17" ht="35.4" customHeight="1" x14ac:dyDescent="0.3">
      <c r="L39" s="14">
        <v>0</v>
      </c>
      <c r="M39" s="15" t="s">
        <v>51</v>
      </c>
      <c r="N39" s="15" t="s">
        <v>46</v>
      </c>
      <c r="O39" s="14" t="s">
        <v>47</v>
      </c>
      <c r="P39" s="15" t="s">
        <v>50</v>
      </c>
      <c r="Q39" s="14" t="s">
        <v>48</v>
      </c>
    </row>
    <row r="40" spans="2:17" ht="31.2" customHeight="1" x14ac:dyDescent="0.3">
      <c r="L40" s="14">
        <v>1</v>
      </c>
      <c r="M40" s="15" t="s">
        <v>52</v>
      </c>
      <c r="N40" s="15" t="s">
        <v>49</v>
      </c>
      <c r="O40" s="15">
        <v>0</v>
      </c>
      <c r="P40" s="15" t="s">
        <v>49</v>
      </c>
      <c r="Q40" s="14" t="s">
        <v>48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dcterms:created xsi:type="dcterms:W3CDTF">2022-03-14T19:24:11Z</dcterms:created>
  <dcterms:modified xsi:type="dcterms:W3CDTF">2022-03-20T19:49:29Z</dcterms:modified>
</cp:coreProperties>
</file>