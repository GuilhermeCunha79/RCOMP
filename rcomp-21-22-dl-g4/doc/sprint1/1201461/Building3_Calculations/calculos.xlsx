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tz\IdeaProjects\2º ano\2º semestre\RCOMP\rcomp-21-22-dl-g4\doc\sprint1\1201461\"/>
    </mc:Choice>
  </mc:AlternateContent>
  <xr:revisionPtr revIDLastSave="0" documentId="8_{58984F00-335F-484F-A99D-EAB4A92A637A}" xr6:coauthVersionLast="47" xr6:coauthVersionMax="47" xr10:uidLastSave="{00000000-0000-0000-0000-000000000000}"/>
  <bookViews>
    <workbookView xWindow="1152" yWindow="924" windowWidth="12240" windowHeight="11316" xr2:uid="{DE61E698-18E9-489A-867C-9375641908E2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5" i="1" l="1"/>
  <c r="K28" i="1"/>
  <c r="K27" i="1"/>
  <c r="K26" i="1"/>
  <c r="K25" i="1"/>
  <c r="K24" i="1"/>
  <c r="K23" i="1"/>
  <c r="K22" i="1"/>
  <c r="K21" i="1"/>
  <c r="K20" i="1"/>
  <c r="K19" i="1"/>
  <c r="K9" i="1"/>
  <c r="K17" i="1"/>
  <c r="K16" i="1"/>
  <c r="K15" i="1"/>
  <c r="K14" i="1"/>
  <c r="K13" i="1"/>
  <c r="K12" i="1"/>
  <c r="K11" i="1"/>
  <c r="K10" i="1"/>
  <c r="M9" i="1"/>
  <c r="J29" i="1"/>
  <c r="J18" i="1"/>
  <c r="L18" i="1"/>
  <c r="I18" i="1"/>
  <c r="E18" i="1"/>
  <c r="C18" i="1"/>
  <c r="L29" i="1"/>
  <c r="I29" i="1"/>
  <c r="E29" i="1"/>
  <c r="C29" i="1"/>
  <c r="C43" i="1"/>
  <c r="G44" i="1"/>
  <c r="G43" i="1"/>
  <c r="F45" i="1"/>
  <c r="K29" i="1" l="1"/>
  <c r="K18" i="1"/>
  <c r="M28" i="1"/>
  <c r="M27" i="1"/>
  <c r="M26" i="1"/>
  <c r="M25" i="1"/>
  <c r="M24" i="1"/>
  <c r="M23" i="1"/>
  <c r="M22" i="1"/>
  <c r="M21" i="1"/>
  <c r="M20" i="1"/>
  <c r="M19" i="1"/>
  <c r="M17" i="1"/>
  <c r="M16" i="1"/>
  <c r="M15" i="1"/>
  <c r="M14" i="1"/>
  <c r="M13" i="1"/>
  <c r="M12" i="1"/>
  <c r="M11" i="1"/>
  <c r="M10" i="1"/>
  <c r="F9" i="1"/>
  <c r="M18" i="1" l="1"/>
  <c r="M29" i="1"/>
  <c r="F21" i="1"/>
  <c r="F20" i="1"/>
  <c r="F19" i="1"/>
  <c r="F28" i="1"/>
  <c r="F27" i="1"/>
  <c r="F26" i="1"/>
  <c r="F25" i="1"/>
  <c r="F24" i="1"/>
  <c r="F23" i="1"/>
  <c r="F22" i="1"/>
  <c r="D28" i="1"/>
  <c r="D27" i="1"/>
  <c r="D26" i="1"/>
  <c r="D25" i="1"/>
  <c r="D24" i="1"/>
  <c r="D23" i="1"/>
  <c r="D22" i="1"/>
  <c r="D21" i="1"/>
  <c r="D20" i="1"/>
  <c r="D19" i="1"/>
  <c r="G28" i="1"/>
  <c r="G27" i="1"/>
  <c r="G26" i="1"/>
  <c r="G25" i="1"/>
  <c r="G24" i="1"/>
  <c r="G23" i="1"/>
  <c r="G22" i="1"/>
  <c r="G21" i="1"/>
  <c r="G20" i="1"/>
  <c r="G19" i="1"/>
  <c r="F17" i="1"/>
  <c r="F16" i="1"/>
  <c r="F15" i="1"/>
  <c r="F14" i="1"/>
  <c r="F13" i="1"/>
  <c r="F12" i="1"/>
  <c r="F11" i="1"/>
  <c r="F10" i="1"/>
  <c r="D17" i="1"/>
  <c r="D16" i="1"/>
  <c r="D15" i="1"/>
  <c r="D14" i="1"/>
  <c r="D13" i="1"/>
  <c r="D12" i="1"/>
  <c r="D11" i="1"/>
  <c r="D10" i="1"/>
  <c r="D9" i="1"/>
  <c r="G17" i="1"/>
  <c r="G16" i="1"/>
  <c r="G15" i="1"/>
  <c r="G14" i="1"/>
  <c r="G13" i="1"/>
  <c r="G12" i="1"/>
  <c r="G11" i="1"/>
  <c r="G10" i="1"/>
  <c r="G9" i="1"/>
  <c r="F18" i="1" l="1"/>
  <c r="G29" i="1"/>
  <c r="D29" i="1"/>
  <c r="F29" i="1"/>
  <c r="G18" i="1"/>
  <c r="D18" i="1"/>
  <c r="H21" i="1"/>
  <c r="H28" i="1"/>
  <c r="H24" i="1"/>
  <c r="H26" i="1"/>
  <c r="H27" i="1"/>
  <c r="H25" i="1"/>
  <c r="H22" i="1"/>
  <c r="H20" i="1"/>
  <c r="H19" i="1"/>
  <c r="H23" i="1"/>
  <c r="H17" i="1"/>
  <c r="H15" i="1"/>
  <c r="H11" i="1"/>
  <c r="H16" i="1"/>
  <c r="H10" i="1"/>
  <c r="H14" i="1"/>
  <c r="H13" i="1"/>
  <c r="H9" i="1"/>
  <c r="H12" i="1"/>
  <c r="H18" i="1" l="1"/>
  <c r="H29" i="1"/>
</calcChain>
</file>

<file path=xl/sharedStrings.xml><?xml version="1.0" encoding="utf-8"?>
<sst xmlns="http://schemas.openxmlformats.org/spreadsheetml/2006/main" count="77" uniqueCount="61">
  <si>
    <t>Escala</t>
  </si>
  <si>
    <t>cm</t>
  </si>
  <si>
    <t>m</t>
  </si>
  <si>
    <t>Divisões</t>
  </si>
  <si>
    <t>Largura(horizontal)</t>
  </si>
  <si>
    <t>Comprimento(Vertical)</t>
  </si>
  <si>
    <t>Área</t>
  </si>
  <si>
    <t>Outlets</t>
  </si>
  <si>
    <t>cm²</t>
  </si>
  <si>
    <t>m²</t>
  </si>
  <si>
    <t>quantidade</t>
  </si>
  <si>
    <t>3.0.1</t>
  </si>
  <si>
    <t>3.0.2</t>
  </si>
  <si>
    <t>3.0.3</t>
  </si>
  <si>
    <t>3.0.4</t>
  </si>
  <si>
    <t>3.0.5</t>
  </si>
  <si>
    <t>3.0.6</t>
  </si>
  <si>
    <t>3.0.7</t>
  </si>
  <si>
    <t>3.0.8</t>
  </si>
  <si>
    <t>3.0.9 (storage area)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</si>
  <si>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</si>
  <si>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</si>
  <si>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</si>
  <si>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</si>
  <si>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</si>
  <si>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</si>
  <si>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</si>
  <si>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</si>
  <si>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</si>
  <si>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 (storage area)</t>
  </si>
  <si>
    <t>Edifício 3</t>
  </si>
  <si>
    <t>Inventário</t>
  </si>
  <si>
    <t>Cabo cobre CAT6A</t>
  </si>
  <si>
    <t>Pisos</t>
  </si>
  <si>
    <t>Piso 0</t>
  </si>
  <si>
    <t>Piso 1</t>
  </si>
  <si>
    <t>Total</t>
  </si>
  <si>
    <t>Outros equipamentos</t>
  </si>
  <si>
    <t>IC</t>
  </si>
  <si>
    <t>HC</t>
  </si>
  <si>
    <t>CP</t>
  </si>
  <si>
    <t>Access Points</t>
  </si>
  <si>
    <t>Cabo cobre CAT7</t>
  </si>
  <si>
    <t>Fibra ótica</t>
  </si>
  <si>
    <t>Telecommunications Enclosures (U units)</t>
  </si>
  <si>
    <t>Floor</t>
  </si>
  <si>
    <t>total piso 0 =</t>
  </si>
  <si>
    <t>total piso 1 =</t>
  </si>
  <si>
    <t>Patch panels cobre CAT6A</t>
  </si>
  <si>
    <t xml:space="preserve">Patch panels cobre CAT7 </t>
  </si>
  <si>
    <t>patch panels fibra óptica</t>
  </si>
  <si>
    <t>Número de Switches</t>
  </si>
  <si>
    <t>3 (24 portas) nos CP's das divisões 3.0.2, 3.0.6 e HC da 3.0.9</t>
  </si>
  <si>
    <t>3(24 portas) nos CP's das divisões 3.0.2, 3.0.6 e HC da 3.0.9</t>
  </si>
  <si>
    <t>4 telecommunications enclosures de 19'' e 9U para armazenar os CP's e HC</t>
  </si>
  <si>
    <t>4 (24 portas) nos CP's das divisões 3.1.2, 3.1.6,3.1.8 e HC da 3.1.10</t>
  </si>
  <si>
    <t>1 (24 portas) no IC da divisão 3.0.9</t>
  </si>
  <si>
    <t>3(12 portas) nos CP's das divisões 3.0.2, 3.0.6 e HC da 3.0.9</t>
  </si>
  <si>
    <t>4 (12 portas) nos CP's das divisões 3.1.2, 3.1.6,3.1.8 e HC da 3.1.10</t>
  </si>
  <si>
    <t>3 telecommunications enclosures de 19'' e 9U para armazenar os CP's, HC e IC</t>
  </si>
  <si>
    <t>Calha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</si>
</sst>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38">
    <xf numFmtId="0" fontId="0" fillId="0" borderId="0" xfId="0"/>
    <xf numFmtId="0" fontId="0" fillId="0" borderId="3" xfId="0" applyBorder="1" applyAlignment="1">
      <alignment horizontal="center"/>
    </xf>
    <xf numFmtId="0" fontId="1" fillId="3" borderId="3" xfId="2" applyBorder="1" applyAlignment="1">
      <alignment horizontal="center" vertical="center"/>
    </xf>
    <xf numFmtId="164" fontId="0" fillId="0" borderId="3" xfId="0" applyNumberFormat="1" applyBorder="1"/>
    <xf numFmtId="164" fontId="0" fillId="7" borderId="3" xfId="0" applyNumberFormat="1" applyFill="1" applyBorder="1"/>
    <xf numFmtId="1" fontId="0" fillId="0" borderId="3" xfId="0" applyNumberFormat="1" applyBorder="1"/>
    <xf numFmtId="0" fontId="1" fillId="2" borderId="0" xfId="1"/>
    <xf numFmtId="164" fontId="0" fillId="8" borderId="3" xfId="0" applyNumberFormat="1" applyFill="1" applyBorder="1"/>
    <xf numFmtId="0" fontId="0" fillId="0" borderId="3" xfId="0" applyFill="1" applyBorder="1" applyAlignment="1">
      <alignment horizontal="center"/>
    </xf>
    <xf numFmtId="0" fontId="0" fillId="0" borderId="3" xfId="0" applyBorder="1"/>
    <xf numFmtId="0" fontId="1" fillId="9" borderId="3" xfId="3" applyBorder="1"/>
    <xf numFmtId="0" fontId="1" fillId="10" borderId="3" xfId="4" applyBorder="1"/>
    <xf numFmtId="0" fontId="1" fillId="3" borderId="3" xfId="2" applyBorder="1"/>
    <xf numFmtId="0" fontId="3" fillId="0" borderId="0" xfId="0" applyFont="1"/>
    <xf numFmtId="0" fontId="0" fillId="0" borderId="3" xfId="0" applyBorder="1" applyAlignment="1">
      <alignment horizontal="center" vertical="center"/>
    </xf>
    <xf numFmtId="0" fontId="0" fillId="5" borderId="6" xfId="0" applyFill="1" applyBorder="1" applyAlignment="1">
      <alignment vertical="center"/>
    </xf>
    <xf numFmtId="0" fontId="0" fillId="0" borderId="0" xfId="0" applyAlignment="1">
      <alignment horizontal="left" vertical="top"/>
    </xf>
    <xf numFmtId="1" fontId="0" fillId="8" borderId="3" xfId="0" applyNumberFormat="1" applyFill="1" applyBorder="1" applyAlignment="1">
      <alignment horizontal="right"/>
    </xf>
    <xf numFmtId="0" fontId="0" fillId="8" borderId="3" xfId="0" applyFill="1" applyBorder="1"/>
    <xf numFmtId="0" fontId="0" fillId="0" borderId="8" xfId="0" applyFill="1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6" borderId="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1" fillId="9" borderId="3" xfId="3" applyBorder="1" applyAlignment="1">
      <alignment horizontal="center"/>
    </xf>
    <xf numFmtId="0" fontId="1" fillId="9" borderId="3" xfId="3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</cellXfs>
  <cellStyles count="5">
    <cellStyle name="20% - Cor6" xfId="1" builtinId="50"/>
    <cellStyle name="40% - Cor5" xfId="3" builtinId="47"/>
    <cellStyle name="40% - Cor6" xfId="2" builtinId="51"/>
    <cellStyle name="60% - Cor5" xfId="4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7A79-352A-4BD3-A73D-4603F54C92C1}">
  <dimension ref="A1:N45"/>
  <sheetViews>
    <sheetView tabSelected="1" topLeftCell="F6" zoomScale="90" zoomScaleNormal="90" workbookViewId="0">
      <selection activeCell="N41" sqref="N41"/>
    </sheetView>
  </sheetViews>
  <sheetFormatPr defaultRowHeight="14.4" x14ac:dyDescent="0.3"/>
  <cols>
    <col min="2" max="2" width="18.109375" customWidth="1"/>
    <col min="3" max="3" width="19.5546875" customWidth="1"/>
    <col min="4" max="4" width="16.33203125" customWidth="1"/>
    <col min="5" max="5" width="21.77734375" customWidth="1"/>
    <col min="6" max="6" width="16.33203125" customWidth="1"/>
    <col min="7" max="7" width="15.21875" customWidth="1"/>
    <col min="8" max="8" width="12.44140625" customWidth="1"/>
    <col min="9" max="9" width="18.109375" customWidth="1"/>
    <col min="10" max="10" width="14" customWidth="1"/>
    <col min="11" max="11" width="12.44140625" customWidth="1"/>
    <col min="12" max="12" width="12.109375" customWidth="1"/>
    <col min="13" max="13" width="14.33203125" customWidth="1"/>
    <col min="14" max="14" width="14.21875" customWidth="1"/>
    <col min="15" max="15" width="12.77734375" customWidth="1"/>
    <col min="16" max="16" width="12.5546875" customWidth="1"/>
    <col min="23" max="23" width="20.44140625" customWidth="1"/>
  </cols>
  <sheetData>
    <row r="1" spans="1:13" x14ac:dyDescent="0.3">
      <c r="A1" s="6" t="s">
        <v>30</v>
      </c>
      <c r="B1" t="s">
        <v>31</v>
      </c>
    </row>
    <row r="3" spans="1:13" x14ac:dyDescent="0.3">
      <c r="A3" s="33" t="s">
        <v>0</v>
      </c>
      <c r="B3" s="34"/>
      <c r="C3" s="1" t="s">
        <v>1</v>
      </c>
      <c r="D3" s="1" t="s">
        <v>2</v>
      </c>
    </row>
    <row r="4" spans="1:13" x14ac:dyDescent="0.3">
      <c r="A4" s="35"/>
      <c r="B4" s="36"/>
      <c r="C4" s="1">
        <v>2.8</v>
      </c>
      <c r="D4" s="1">
        <v>5</v>
      </c>
    </row>
    <row r="7" spans="1:13" x14ac:dyDescent="0.3">
      <c r="A7" s="37" t="s">
        <v>3</v>
      </c>
      <c r="B7" s="37"/>
      <c r="C7" s="24" t="s">
        <v>4</v>
      </c>
      <c r="D7" s="24"/>
      <c r="E7" s="24" t="s">
        <v>5</v>
      </c>
      <c r="F7" s="24"/>
      <c r="G7" s="24" t="s">
        <v>6</v>
      </c>
      <c r="H7" s="24"/>
      <c r="I7" s="2" t="s">
        <v>7</v>
      </c>
      <c r="J7" s="24" t="s">
        <v>60</v>
      </c>
      <c r="K7" s="24"/>
      <c r="L7" s="24" t="s">
        <v>32</v>
      </c>
      <c r="M7" s="24"/>
    </row>
    <row r="8" spans="1:13" x14ac:dyDescent="0.3">
      <c r="A8" s="37"/>
      <c r="B8" s="37"/>
      <c r="C8" s="1" t="s">
        <v>1</v>
      </c>
      <c r="D8" s="1" t="s">
        <v>2</v>
      </c>
      <c r="E8" s="1" t="s">
        <v>1</v>
      </c>
      <c r="F8" s="1" t="s">
        <v>2</v>
      </c>
      <c r="G8" s="1" t="s">
        <v>8</v>
      </c>
      <c r="H8" s="1" t="s">
        <v>9</v>
      </c>
      <c r="I8" s="1" t="s">
        <v>10</v>
      </c>
      <c r="J8" s="8" t="s">
        <v>1</v>
      </c>
      <c r="K8" s="8" t="s">
        <v>2</v>
      </c>
      <c r="L8" s="8" t="s">
        <v>1</v>
      </c>
      <c r="M8" s="8" t="s">
        <v>2</v>
      </c>
    </row>
    <row r="9" spans="1:13" x14ac:dyDescent="0.3">
      <c r="A9" s="25" t="s">
        <v>11</v>
      </c>
      <c r="B9" s="26"/>
      <c r="C9" s="3">
        <v>1.7</v>
      </c>
      <c r="D9" s="3">
        <f>C9*D4/C4</f>
        <v>3.035714285714286</v>
      </c>
      <c r="E9" s="3">
        <v>3</v>
      </c>
      <c r="F9" s="3">
        <f>E9*D4/C4</f>
        <v>5.3571428571428577</v>
      </c>
      <c r="G9" s="3">
        <f>C9*E9</f>
        <v>5.0999999999999996</v>
      </c>
      <c r="H9" s="4">
        <f>D9*F9</f>
        <v>16.262755102040821</v>
      </c>
      <c r="I9" s="5">
        <v>4</v>
      </c>
      <c r="J9" s="9">
        <v>3.4</v>
      </c>
      <c r="K9" s="3">
        <f>J9*D4/C4</f>
        <v>6.0714285714285721</v>
      </c>
      <c r="L9" s="9">
        <v>4.5</v>
      </c>
      <c r="M9" s="3">
        <f>L9*D4/C4</f>
        <v>8.0357142857142865</v>
      </c>
    </row>
    <row r="10" spans="1:13" x14ac:dyDescent="0.3">
      <c r="A10" s="25" t="s">
        <v>12</v>
      </c>
      <c r="B10" s="26"/>
      <c r="C10" s="3">
        <v>1.7</v>
      </c>
      <c r="D10" s="3">
        <f>C10*D4/C4</f>
        <v>3.035714285714286</v>
      </c>
      <c r="E10" s="3">
        <v>3</v>
      </c>
      <c r="F10" s="3">
        <f>E10*D4/C4</f>
        <v>5.3571428571428577</v>
      </c>
      <c r="G10" s="3">
        <f t="shared" ref="G10:H16" si="0">C10*E10</f>
        <v>5.0999999999999996</v>
      </c>
      <c r="H10" s="4">
        <f t="shared" si="0"/>
        <v>16.262755102040821</v>
      </c>
      <c r="I10" s="5">
        <v>4</v>
      </c>
      <c r="J10" s="9">
        <v>3</v>
      </c>
      <c r="K10" s="3">
        <f>J10*D4/C4</f>
        <v>5.3571428571428577</v>
      </c>
      <c r="L10" s="9">
        <v>4.0999999999999996</v>
      </c>
      <c r="M10" s="3">
        <f>L10*D4/C4</f>
        <v>7.3214285714285721</v>
      </c>
    </row>
    <row r="11" spans="1:13" x14ac:dyDescent="0.3">
      <c r="A11" s="25" t="s">
        <v>13</v>
      </c>
      <c r="B11" s="26"/>
      <c r="C11" s="3">
        <v>1.7</v>
      </c>
      <c r="D11" s="3">
        <f>C11*D4/C4</f>
        <v>3.035714285714286</v>
      </c>
      <c r="E11" s="3">
        <v>3</v>
      </c>
      <c r="F11" s="3">
        <f>E11*D4/C4</f>
        <v>5.3571428571428577</v>
      </c>
      <c r="G11" s="3">
        <f t="shared" si="0"/>
        <v>5.0999999999999996</v>
      </c>
      <c r="H11" s="4">
        <f t="shared" si="0"/>
        <v>16.262755102040821</v>
      </c>
      <c r="I11" s="5">
        <v>4</v>
      </c>
      <c r="J11" s="9">
        <v>3.4</v>
      </c>
      <c r="K11" s="3">
        <f>J11*D4/C4</f>
        <v>6.0714285714285721</v>
      </c>
      <c r="L11" s="9">
        <v>5.0999999999999996</v>
      </c>
      <c r="M11" s="3">
        <f>L11*D4/C4</f>
        <v>9.1071428571428577</v>
      </c>
    </row>
    <row r="12" spans="1:13" x14ac:dyDescent="0.3">
      <c r="A12" s="25" t="s">
        <v>14</v>
      </c>
      <c r="B12" s="26"/>
      <c r="C12" s="3">
        <v>2</v>
      </c>
      <c r="D12" s="3">
        <f>C12*D4/C4</f>
        <v>3.5714285714285716</v>
      </c>
      <c r="E12" s="3">
        <v>3</v>
      </c>
      <c r="F12" s="3">
        <f>E12*D4/C4</f>
        <v>5.3571428571428577</v>
      </c>
      <c r="G12" s="3">
        <f t="shared" si="0"/>
        <v>6</v>
      </c>
      <c r="H12" s="4">
        <f t="shared" si="0"/>
        <v>19.132653061224492</v>
      </c>
      <c r="I12" s="5">
        <v>4</v>
      </c>
      <c r="J12" s="9">
        <v>3.4</v>
      </c>
      <c r="K12" s="3">
        <f>J12*D4/C4</f>
        <v>6.0714285714285721</v>
      </c>
      <c r="L12" s="9">
        <v>4.5</v>
      </c>
      <c r="M12" s="3">
        <f>L12*D4/C4</f>
        <v>8.0357142857142865</v>
      </c>
    </row>
    <row r="13" spans="1:13" x14ac:dyDescent="0.3">
      <c r="A13" s="25" t="s">
        <v>15</v>
      </c>
      <c r="B13" s="26"/>
      <c r="C13" s="3">
        <v>4.8</v>
      </c>
      <c r="D13" s="3">
        <f>C13*D4/C4</f>
        <v>8.5714285714285712</v>
      </c>
      <c r="E13" s="3">
        <v>1.9</v>
      </c>
      <c r="F13" s="3">
        <f>E13*D4/C4</f>
        <v>3.3928571428571432</v>
      </c>
      <c r="G13" s="3">
        <f t="shared" si="0"/>
        <v>9.1199999999999992</v>
      </c>
      <c r="H13" s="4">
        <f t="shared" si="0"/>
        <v>29.081632653061227</v>
      </c>
      <c r="I13" s="5">
        <v>6</v>
      </c>
      <c r="J13" s="9">
        <v>5.9</v>
      </c>
      <c r="K13" s="3">
        <f>J13*D4/C4</f>
        <v>10.535714285714286</v>
      </c>
      <c r="L13" s="9">
        <v>8.6999999999999993</v>
      </c>
      <c r="M13" s="3">
        <f>L13*D4/C4</f>
        <v>15.535714285714286</v>
      </c>
    </row>
    <row r="14" spans="1:13" x14ac:dyDescent="0.3">
      <c r="A14" s="25" t="s">
        <v>16</v>
      </c>
      <c r="B14" s="26"/>
      <c r="C14" s="3">
        <v>4.8</v>
      </c>
      <c r="D14" s="3">
        <f>C14*D4/C4</f>
        <v>8.5714285714285712</v>
      </c>
      <c r="E14" s="3">
        <v>1.9</v>
      </c>
      <c r="F14" s="3">
        <f>E14*D4/C4</f>
        <v>3.3928571428571432</v>
      </c>
      <c r="G14" s="3">
        <f t="shared" si="0"/>
        <v>9.1199999999999992</v>
      </c>
      <c r="H14" s="4">
        <f t="shared" si="0"/>
        <v>29.081632653061227</v>
      </c>
      <c r="I14" s="5">
        <v>6</v>
      </c>
      <c r="J14" s="9">
        <v>4.8</v>
      </c>
      <c r="K14" s="3">
        <f>J14*D4/C4</f>
        <v>8.5714285714285712</v>
      </c>
      <c r="L14" s="9">
        <v>6.8</v>
      </c>
      <c r="M14" s="3">
        <f>L14*D4/C4</f>
        <v>12.142857142857144</v>
      </c>
    </row>
    <row r="15" spans="1:13" x14ac:dyDescent="0.3">
      <c r="A15" s="25" t="s">
        <v>17</v>
      </c>
      <c r="B15" s="26"/>
      <c r="C15" s="3">
        <v>4.8</v>
      </c>
      <c r="D15" s="3">
        <f>C15*D4/C4</f>
        <v>8.5714285714285712</v>
      </c>
      <c r="E15" s="3">
        <v>1.9</v>
      </c>
      <c r="F15" s="3">
        <f>E15*D4/C4</f>
        <v>3.3928571428571432</v>
      </c>
      <c r="G15" s="3">
        <f t="shared" si="0"/>
        <v>9.1199999999999992</v>
      </c>
      <c r="H15" s="4">
        <f t="shared" si="0"/>
        <v>29.081632653061227</v>
      </c>
      <c r="I15" s="5">
        <v>6</v>
      </c>
      <c r="J15" s="9">
        <v>5.2</v>
      </c>
      <c r="K15" s="3">
        <f>J15*D4/C4</f>
        <v>9.2857142857142865</v>
      </c>
      <c r="L15" s="9">
        <v>7.8</v>
      </c>
      <c r="M15" s="3">
        <f>L15*D4/C4</f>
        <v>13.928571428571429</v>
      </c>
    </row>
    <row r="16" spans="1:13" x14ac:dyDescent="0.3">
      <c r="A16" s="25" t="s">
        <v>18</v>
      </c>
      <c r="B16" s="26"/>
      <c r="C16" s="3">
        <v>1.9</v>
      </c>
      <c r="D16" s="3">
        <f>C16*D4/C4</f>
        <v>3.3928571428571432</v>
      </c>
      <c r="E16" s="3">
        <v>2.2999999999999998</v>
      </c>
      <c r="F16" s="3">
        <f>E16*D4/C4</f>
        <v>4.1071428571428577</v>
      </c>
      <c r="G16" s="3">
        <f t="shared" si="0"/>
        <v>4.3699999999999992</v>
      </c>
      <c r="H16" s="4">
        <f t="shared" si="0"/>
        <v>13.934948979591841</v>
      </c>
      <c r="I16" s="5">
        <v>4</v>
      </c>
      <c r="J16" s="9">
        <v>1.6</v>
      </c>
      <c r="K16" s="3">
        <f>J16*D4/C4</f>
        <v>2.8571428571428572</v>
      </c>
      <c r="L16" s="9">
        <v>3.7</v>
      </c>
      <c r="M16" s="3">
        <f>L16*D4/C4</f>
        <v>6.6071428571428577</v>
      </c>
    </row>
    <row r="17" spans="1:14" x14ac:dyDescent="0.3">
      <c r="A17" s="25" t="s">
        <v>19</v>
      </c>
      <c r="B17" s="26"/>
      <c r="C17" s="3">
        <v>1.9</v>
      </c>
      <c r="D17" s="3">
        <f>C17*D4/C4</f>
        <v>3.3928571428571432</v>
      </c>
      <c r="E17" s="3">
        <v>1.4</v>
      </c>
      <c r="F17" s="3">
        <f>E17*D4/C4</f>
        <v>2.5</v>
      </c>
      <c r="G17" s="3">
        <f>C17*E17</f>
        <v>2.6599999999999997</v>
      </c>
      <c r="H17" s="4">
        <f>D17*F17</f>
        <v>8.4821428571428577</v>
      </c>
      <c r="I17" s="5">
        <v>0</v>
      </c>
      <c r="J17" s="9">
        <v>0</v>
      </c>
      <c r="K17" s="3">
        <f>J17*D4/C4</f>
        <v>0</v>
      </c>
      <c r="L17" s="9">
        <v>0</v>
      </c>
      <c r="M17" s="3">
        <f>L17*D4/C4</f>
        <v>0</v>
      </c>
    </row>
    <row r="18" spans="1:14" x14ac:dyDescent="0.3">
      <c r="A18" s="27" t="s">
        <v>46</v>
      </c>
      <c r="B18" s="27"/>
      <c r="C18" s="7">
        <f t="shared" ref="C18:M18" si="1">SUM(C9:C17)</f>
        <v>25.299999999999997</v>
      </c>
      <c r="D18" s="7">
        <f t="shared" si="1"/>
        <v>45.178571428571431</v>
      </c>
      <c r="E18" s="7">
        <f t="shared" si="1"/>
        <v>21.4</v>
      </c>
      <c r="F18" s="7">
        <f t="shared" si="1"/>
        <v>38.214285714285715</v>
      </c>
      <c r="G18" s="7">
        <f t="shared" si="1"/>
        <v>55.689999999999984</v>
      </c>
      <c r="H18" s="7">
        <f t="shared" si="1"/>
        <v>177.58290816326536</v>
      </c>
      <c r="I18" s="7">
        <f t="shared" si="1"/>
        <v>38</v>
      </c>
      <c r="J18" s="18">
        <f t="shared" si="1"/>
        <v>30.700000000000003</v>
      </c>
      <c r="K18" s="7">
        <f t="shared" si="1"/>
        <v>54.821428571428569</v>
      </c>
      <c r="L18" s="7">
        <f t="shared" si="1"/>
        <v>45.199999999999996</v>
      </c>
      <c r="M18" s="7">
        <f t="shared" si="1"/>
        <v>80.714285714285722</v>
      </c>
    </row>
    <row r="19" spans="1:14" x14ac:dyDescent="0.3">
      <c r="A19" s="25" t="s">
        <v>20</v>
      </c>
      <c r="B19" s="26"/>
      <c r="C19" s="3">
        <v>3.4</v>
      </c>
      <c r="D19" s="3">
        <f>C19*D4/C4</f>
        <v>6.0714285714285721</v>
      </c>
      <c r="E19" s="3">
        <v>2.6</v>
      </c>
      <c r="F19" s="3">
        <f>(E19*D4)/C4</f>
        <v>4.6428571428571432</v>
      </c>
      <c r="G19" s="3">
        <f>C19*E19</f>
        <v>8.84</v>
      </c>
      <c r="H19" s="4">
        <f>D19*F19</f>
        <v>28.188775510204088</v>
      </c>
      <c r="I19" s="5">
        <v>6</v>
      </c>
      <c r="J19" s="9">
        <v>4.8</v>
      </c>
      <c r="K19" s="3">
        <f>J19*D4/C4</f>
        <v>8.5714285714285712</v>
      </c>
      <c r="L19" s="9">
        <v>6</v>
      </c>
      <c r="M19" s="3">
        <f>L19*D4/C4</f>
        <v>10.714285714285715</v>
      </c>
    </row>
    <row r="20" spans="1:14" x14ac:dyDescent="0.3">
      <c r="A20" s="25" t="s">
        <v>21</v>
      </c>
      <c r="B20" s="26"/>
      <c r="C20" s="3">
        <v>3.6</v>
      </c>
      <c r="D20" s="3">
        <f>C20*D4/C4</f>
        <v>6.4285714285714288</v>
      </c>
      <c r="E20" s="3">
        <v>2.6</v>
      </c>
      <c r="F20" s="3">
        <f>E20*D4/C4</f>
        <v>4.6428571428571432</v>
      </c>
      <c r="G20" s="3">
        <f t="shared" ref="G20:G26" si="2">C20*E20</f>
        <v>9.3600000000000012</v>
      </c>
      <c r="H20" s="4">
        <f t="shared" ref="H20:H26" si="3">D20*F20</f>
        <v>29.846938775510207</v>
      </c>
      <c r="I20" s="5">
        <v>6</v>
      </c>
      <c r="J20" s="9">
        <v>4.5999999999999996</v>
      </c>
      <c r="K20" s="3">
        <f>J20*D4/C4</f>
        <v>8.2142857142857153</v>
      </c>
      <c r="L20" s="9">
        <v>4.5999999999999996</v>
      </c>
      <c r="M20" s="3">
        <f>L20*D4/C4</f>
        <v>8.2142857142857153</v>
      </c>
    </row>
    <row r="21" spans="1:14" x14ac:dyDescent="0.3">
      <c r="A21" s="25" t="s">
        <v>22</v>
      </c>
      <c r="B21" s="26"/>
      <c r="C21" s="3">
        <v>2.2999999999999998</v>
      </c>
      <c r="D21" s="3">
        <f>C21*D4/C4</f>
        <v>4.1071428571428577</v>
      </c>
      <c r="E21" s="3">
        <v>2.8</v>
      </c>
      <c r="F21" s="3">
        <f>E21*D4/C4</f>
        <v>5</v>
      </c>
      <c r="G21" s="3">
        <f t="shared" si="2"/>
        <v>6.4399999999999995</v>
      </c>
      <c r="H21" s="4">
        <f t="shared" si="3"/>
        <v>20.535714285714288</v>
      </c>
      <c r="I21" s="5">
        <v>6</v>
      </c>
      <c r="J21" s="19">
        <v>3.7</v>
      </c>
      <c r="K21" s="3">
        <f>J21*D4/C4</f>
        <v>6.6071428571428577</v>
      </c>
      <c r="L21" s="9">
        <v>4.9000000000000004</v>
      </c>
      <c r="M21" s="3">
        <f>L21*D4/C4</f>
        <v>8.75</v>
      </c>
    </row>
    <row r="22" spans="1:14" x14ac:dyDescent="0.3">
      <c r="A22" s="25" t="s">
        <v>23</v>
      </c>
      <c r="B22" s="26"/>
      <c r="C22" s="3">
        <v>2.2999999999999998</v>
      </c>
      <c r="D22" s="3">
        <f>C22*D4/C4</f>
        <v>4.1071428571428577</v>
      </c>
      <c r="E22" s="3">
        <v>2.6</v>
      </c>
      <c r="F22" s="3">
        <f>E22*D4/C4</f>
        <v>4.6428571428571432</v>
      </c>
      <c r="G22" s="3">
        <f t="shared" si="2"/>
        <v>5.9799999999999995</v>
      </c>
      <c r="H22" s="4">
        <f t="shared" si="3"/>
        <v>19.068877551020414</v>
      </c>
      <c r="I22" s="5">
        <v>4</v>
      </c>
      <c r="J22" s="9">
        <v>3</v>
      </c>
      <c r="K22" s="3">
        <f>J22*D4/C4</f>
        <v>5.3571428571428577</v>
      </c>
      <c r="L22" s="9">
        <v>6.4</v>
      </c>
      <c r="M22" s="3">
        <f>L22*D4/C4</f>
        <v>11.428571428571429</v>
      </c>
    </row>
    <row r="23" spans="1:14" x14ac:dyDescent="0.3">
      <c r="A23" s="25" t="s">
        <v>24</v>
      </c>
      <c r="B23" s="26"/>
      <c r="C23" s="3">
        <v>2.2999999999999998</v>
      </c>
      <c r="D23" s="3">
        <f>C23*D4/C4</f>
        <v>4.1071428571428577</v>
      </c>
      <c r="E23" s="3">
        <v>2.6</v>
      </c>
      <c r="F23" s="3">
        <f>E23*D4/C4</f>
        <v>4.6428571428571432</v>
      </c>
      <c r="G23" s="3">
        <f t="shared" si="2"/>
        <v>5.9799999999999995</v>
      </c>
      <c r="H23" s="4">
        <f t="shared" si="3"/>
        <v>19.068877551020414</v>
      </c>
      <c r="I23" s="5">
        <v>4</v>
      </c>
      <c r="J23" s="9">
        <v>3</v>
      </c>
      <c r="K23" s="3">
        <f>J23*D4/C4</f>
        <v>5.3571428571428577</v>
      </c>
      <c r="L23" s="9">
        <v>7.1</v>
      </c>
      <c r="M23" s="3">
        <f>L23*D4/C4</f>
        <v>12.678571428571429</v>
      </c>
    </row>
    <row r="24" spans="1:14" x14ac:dyDescent="0.3">
      <c r="A24" s="25" t="s">
        <v>25</v>
      </c>
      <c r="B24" s="26"/>
      <c r="C24" s="3">
        <v>2.2999999999999998</v>
      </c>
      <c r="D24" s="3">
        <f>C24*D4/C4</f>
        <v>4.1071428571428577</v>
      </c>
      <c r="E24" s="3">
        <v>2.6</v>
      </c>
      <c r="F24" s="3">
        <f>E24*D4/C4</f>
        <v>4.6428571428571432</v>
      </c>
      <c r="G24" s="3">
        <f t="shared" si="2"/>
        <v>5.9799999999999995</v>
      </c>
      <c r="H24" s="4">
        <f t="shared" si="3"/>
        <v>19.068877551020414</v>
      </c>
      <c r="I24" s="5">
        <v>4</v>
      </c>
      <c r="J24" s="9">
        <v>2.6</v>
      </c>
      <c r="K24" s="3">
        <f>J24*D4/C4</f>
        <v>4.6428571428571432</v>
      </c>
      <c r="L24" s="9">
        <v>4.5</v>
      </c>
      <c r="M24" s="3">
        <f>L24*D4/C4</f>
        <v>8.0357142857142865</v>
      </c>
    </row>
    <row r="25" spans="1:14" x14ac:dyDescent="0.3">
      <c r="A25" s="25" t="s">
        <v>26</v>
      </c>
      <c r="B25" s="26"/>
      <c r="C25" s="3">
        <v>3.6</v>
      </c>
      <c r="D25" s="3">
        <f>C25*D4/C4</f>
        <v>6.4285714285714288</v>
      </c>
      <c r="E25" s="3">
        <v>2.2999999999999998</v>
      </c>
      <c r="F25" s="3">
        <f>E25*D4/C4</f>
        <v>4.1071428571428577</v>
      </c>
      <c r="G25" s="3">
        <f t="shared" si="2"/>
        <v>8.2799999999999994</v>
      </c>
      <c r="H25" s="4">
        <f t="shared" si="3"/>
        <v>26.4030612244898</v>
      </c>
      <c r="I25" s="5">
        <v>6</v>
      </c>
      <c r="J25" s="9">
        <v>3.6</v>
      </c>
      <c r="K25" s="3">
        <f>J25*D4/C4</f>
        <v>6.4285714285714288</v>
      </c>
      <c r="L25" s="9">
        <v>6.9</v>
      </c>
      <c r="M25" s="3">
        <f>L25*D4/C4</f>
        <v>12.321428571428573</v>
      </c>
      <c r="N25" s="13"/>
    </row>
    <row r="26" spans="1:14" x14ac:dyDescent="0.3">
      <c r="A26" s="25" t="s">
        <v>27</v>
      </c>
      <c r="B26" s="26"/>
      <c r="C26" s="3">
        <v>3.6</v>
      </c>
      <c r="D26" s="3">
        <f>C26*D4/C4</f>
        <v>6.4285714285714288</v>
      </c>
      <c r="E26" s="3">
        <v>2.2999999999999998</v>
      </c>
      <c r="F26" s="3">
        <f>E26*D4/C4</f>
        <v>4.1071428571428577</v>
      </c>
      <c r="G26" s="3">
        <f t="shared" si="2"/>
        <v>8.2799999999999994</v>
      </c>
      <c r="H26" s="4">
        <f t="shared" si="3"/>
        <v>26.4030612244898</v>
      </c>
      <c r="I26" s="5">
        <v>6</v>
      </c>
      <c r="J26" s="9">
        <v>3.4</v>
      </c>
      <c r="K26" s="3">
        <f>J26*D4/C4</f>
        <v>6.0714285714285721</v>
      </c>
      <c r="L26" s="9">
        <v>3.5</v>
      </c>
      <c r="M26" s="3">
        <f>L26*D4/C4</f>
        <v>6.25</v>
      </c>
    </row>
    <row r="27" spans="1:14" x14ac:dyDescent="0.3">
      <c r="A27" s="25" t="s">
        <v>28</v>
      </c>
      <c r="B27" s="26"/>
      <c r="C27" s="3">
        <v>3.4</v>
      </c>
      <c r="D27" s="3">
        <f>C27*D4/C4</f>
        <v>6.0714285714285721</v>
      </c>
      <c r="E27" s="3">
        <v>2.2999999999999998</v>
      </c>
      <c r="F27" s="3">
        <f>E27*D4/C4</f>
        <v>4.1071428571428577</v>
      </c>
      <c r="G27" s="3">
        <f>C27*E27</f>
        <v>7.8199999999999994</v>
      </c>
      <c r="H27" s="4">
        <f>D27*F27</f>
        <v>24.936224489795926</v>
      </c>
      <c r="I27" s="5">
        <v>6</v>
      </c>
      <c r="J27" s="9">
        <v>3.6</v>
      </c>
      <c r="K27" s="3">
        <f>J27*D4/C4</f>
        <v>6.4285714285714288</v>
      </c>
      <c r="L27" s="9">
        <v>9.1</v>
      </c>
      <c r="M27" s="3">
        <f>L27*D4/C4</f>
        <v>16.25</v>
      </c>
    </row>
    <row r="28" spans="1:14" x14ac:dyDescent="0.3">
      <c r="A28" s="25" t="s">
        <v>29</v>
      </c>
      <c r="B28" s="26"/>
      <c r="C28" s="3">
        <v>1.9</v>
      </c>
      <c r="D28" s="3">
        <f>C28*D4/C4</f>
        <v>3.3928571428571432</v>
      </c>
      <c r="E28" s="3">
        <v>1.4</v>
      </c>
      <c r="F28" s="3">
        <f>E28*D4/C4</f>
        <v>2.5</v>
      </c>
      <c r="G28" s="3">
        <f>C28*E28</f>
        <v>2.6599999999999997</v>
      </c>
      <c r="H28" s="4">
        <f>D28*F28</f>
        <v>8.4821428571428577</v>
      </c>
      <c r="I28" s="5">
        <v>0</v>
      </c>
      <c r="J28" s="9">
        <v>0</v>
      </c>
      <c r="K28" s="3">
        <f>J28*D4/C4</f>
        <v>0</v>
      </c>
      <c r="L28" s="9">
        <v>0</v>
      </c>
      <c r="M28" s="3">
        <f>L28*D4/C4</f>
        <v>0</v>
      </c>
    </row>
    <row r="29" spans="1:14" x14ac:dyDescent="0.3">
      <c r="A29" s="27" t="s">
        <v>47</v>
      </c>
      <c r="B29" s="27"/>
      <c r="C29" s="7">
        <f t="shared" ref="C29:M29" si="4">SUM(C19:C28)</f>
        <v>28.700000000000003</v>
      </c>
      <c r="D29" s="7">
        <f t="shared" si="4"/>
        <v>51.250000000000007</v>
      </c>
      <c r="E29" s="7">
        <f t="shared" si="4"/>
        <v>24.099999999999998</v>
      </c>
      <c r="F29" s="7">
        <f t="shared" si="4"/>
        <v>43.035714285714292</v>
      </c>
      <c r="G29" s="7">
        <f t="shared" si="4"/>
        <v>69.61999999999999</v>
      </c>
      <c r="H29" s="7">
        <f t="shared" si="4"/>
        <v>222.00255102040822</v>
      </c>
      <c r="I29" s="17">
        <f t="shared" si="4"/>
        <v>48</v>
      </c>
      <c r="J29" s="18">
        <f t="shared" si="4"/>
        <v>32.299999999999997</v>
      </c>
      <c r="K29" s="7">
        <f t="shared" si="4"/>
        <v>57.678571428571438</v>
      </c>
      <c r="L29" s="7">
        <f t="shared" si="4"/>
        <v>53</v>
      </c>
      <c r="M29" s="7">
        <f t="shared" si="4"/>
        <v>94.642857142857153</v>
      </c>
    </row>
    <row r="34" spans="1:14" x14ac:dyDescent="0.3">
      <c r="A34" s="15" t="s">
        <v>45</v>
      </c>
      <c r="B34" s="28" t="s">
        <v>48</v>
      </c>
      <c r="C34" s="29"/>
      <c r="D34" s="28" t="s">
        <v>49</v>
      </c>
      <c r="E34" s="29"/>
      <c r="F34" s="28" t="s">
        <v>50</v>
      </c>
      <c r="G34" s="30"/>
      <c r="H34" s="29"/>
      <c r="I34" s="28" t="s">
        <v>51</v>
      </c>
      <c r="J34" s="29"/>
      <c r="K34" s="28" t="s">
        <v>44</v>
      </c>
      <c r="L34" s="30"/>
      <c r="M34" s="30"/>
      <c r="N34" s="29"/>
    </row>
    <row r="35" spans="1:14" ht="30" customHeight="1" x14ac:dyDescent="0.3">
      <c r="A35" s="14">
        <v>0</v>
      </c>
      <c r="B35" s="21" t="s">
        <v>52</v>
      </c>
      <c r="C35" s="21"/>
      <c r="D35" s="21" t="s">
        <v>57</v>
      </c>
      <c r="E35" s="21"/>
      <c r="F35" s="21" t="s">
        <v>56</v>
      </c>
      <c r="G35" s="21"/>
      <c r="H35" s="21"/>
      <c r="I35" s="21" t="s">
        <v>53</v>
      </c>
      <c r="J35" s="21"/>
      <c r="K35" s="21" t="s">
        <v>59</v>
      </c>
      <c r="L35" s="21"/>
      <c r="M35" s="21"/>
      <c r="N35" s="21"/>
    </row>
    <row r="36" spans="1:14" ht="30.6" customHeight="1" x14ac:dyDescent="0.3">
      <c r="A36" s="14">
        <v>1</v>
      </c>
      <c r="B36" s="22" t="s">
        <v>55</v>
      </c>
      <c r="C36" s="23"/>
      <c r="D36" s="21" t="s">
        <v>58</v>
      </c>
      <c r="E36" s="21"/>
      <c r="F36" s="20">
        <v>0</v>
      </c>
      <c r="G36" s="20"/>
      <c r="H36" s="20"/>
      <c r="I36" s="21" t="s">
        <v>55</v>
      </c>
      <c r="J36" s="21"/>
      <c r="K36" s="21" t="s">
        <v>54</v>
      </c>
      <c r="L36" s="21"/>
      <c r="M36" s="21"/>
      <c r="N36" s="21"/>
    </row>
    <row r="39" spans="1:14" x14ac:dyDescent="0.3">
      <c r="I39" s="16"/>
    </row>
    <row r="41" spans="1:14" x14ac:dyDescent="0.3">
      <c r="B41" s="31" t="s">
        <v>43</v>
      </c>
      <c r="C41" s="31"/>
      <c r="E41" s="32" t="s">
        <v>33</v>
      </c>
      <c r="F41" s="31" t="s">
        <v>42</v>
      </c>
      <c r="G41" s="31"/>
      <c r="I41" s="10" t="s">
        <v>37</v>
      </c>
      <c r="J41" s="10" t="s">
        <v>34</v>
      </c>
      <c r="K41" s="10" t="s">
        <v>35</v>
      </c>
      <c r="N41" s="13"/>
    </row>
    <row r="42" spans="1:14" x14ac:dyDescent="0.3">
      <c r="B42" s="1" t="s">
        <v>1</v>
      </c>
      <c r="C42" s="1" t="s">
        <v>2</v>
      </c>
      <c r="E42" s="32"/>
      <c r="F42" s="1" t="s">
        <v>1</v>
      </c>
      <c r="G42" s="1" t="s">
        <v>2</v>
      </c>
      <c r="I42" s="11" t="s">
        <v>38</v>
      </c>
      <c r="J42" s="9">
        <v>1</v>
      </c>
      <c r="K42" s="9">
        <v>0</v>
      </c>
    </row>
    <row r="43" spans="1:14" x14ac:dyDescent="0.3">
      <c r="A43" s="11" t="s">
        <v>34</v>
      </c>
      <c r="B43" s="9">
        <v>17.100000000000001</v>
      </c>
      <c r="C43" s="3">
        <f>B43*D4/C4</f>
        <v>30.535714285714288</v>
      </c>
      <c r="E43" s="11" t="s">
        <v>34</v>
      </c>
      <c r="F43" s="9">
        <v>24.9</v>
      </c>
      <c r="G43" s="3">
        <f>F43*D4/C4</f>
        <v>44.464285714285715</v>
      </c>
      <c r="I43" s="11" t="s">
        <v>39</v>
      </c>
      <c r="J43" s="9">
        <v>1</v>
      </c>
      <c r="K43" s="9">
        <v>1</v>
      </c>
    </row>
    <row r="44" spans="1:14" x14ac:dyDescent="0.3">
      <c r="E44" s="11" t="s">
        <v>35</v>
      </c>
      <c r="F44" s="9">
        <v>33.200000000000003</v>
      </c>
      <c r="G44" s="3">
        <f>F44*D4/C4</f>
        <v>59.285714285714292</v>
      </c>
      <c r="I44" s="11" t="s">
        <v>40</v>
      </c>
      <c r="J44" s="9">
        <v>2</v>
      </c>
      <c r="K44" s="9">
        <v>3</v>
      </c>
    </row>
    <row r="45" spans="1:14" x14ac:dyDescent="0.3">
      <c r="E45" s="12" t="s">
        <v>36</v>
      </c>
      <c r="F45" s="9">
        <f>SUM(F43:F44)</f>
        <v>58.1</v>
      </c>
      <c r="G45" s="3">
        <f>SUM(G43:G44)</f>
        <v>103.75</v>
      </c>
      <c r="I45" s="11" t="s">
        <v>41</v>
      </c>
      <c r="J45" s="9">
        <v>1</v>
      </c>
      <c r="K45" s="9">
        <v>1</v>
      </c>
    </row>
  </sheetData>
  <mergeCells count="46">
    <mergeCell ref="J7:K7"/>
    <mergeCell ref="F41:G41"/>
    <mergeCell ref="E41:E42"/>
    <mergeCell ref="A3:B4"/>
    <mergeCell ref="A7:B8"/>
    <mergeCell ref="C7:D7"/>
    <mergeCell ref="E7:F7"/>
    <mergeCell ref="G7:H7"/>
    <mergeCell ref="A19:B19"/>
    <mergeCell ref="A20:B20"/>
    <mergeCell ref="A21:B21"/>
    <mergeCell ref="A22:B22"/>
    <mergeCell ref="B41:C41"/>
    <mergeCell ref="A16:B16"/>
    <mergeCell ref="A17:B17"/>
    <mergeCell ref="A9:B9"/>
    <mergeCell ref="A10:B10"/>
    <mergeCell ref="A11:B11"/>
    <mergeCell ref="A12:B12"/>
    <mergeCell ref="A13:B13"/>
    <mergeCell ref="A14:B14"/>
    <mergeCell ref="A15:B15"/>
    <mergeCell ref="F34:H34"/>
    <mergeCell ref="I34:J34"/>
    <mergeCell ref="A23:B23"/>
    <mergeCell ref="A24:B24"/>
    <mergeCell ref="A25:B25"/>
    <mergeCell ref="A26:B26"/>
    <mergeCell ref="A29:B29"/>
    <mergeCell ref="A27:B27"/>
    <mergeCell ref="F36:H36"/>
    <mergeCell ref="I36:J36"/>
    <mergeCell ref="K36:N36"/>
    <mergeCell ref="B36:C36"/>
    <mergeCell ref="L7:M7"/>
    <mergeCell ref="A28:B28"/>
    <mergeCell ref="A18:B18"/>
    <mergeCell ref="B34:C34"/>
    <mergeCell ref="K34:N34"/>
    <mergeCell ref="B35:C35"/>
    <mergeCell ref="D35:E35"/>
    <mergeCell ref="F35:H35"/>
    <mergeCell ref="I35:J35"/>
    <mergeCell ref="K35:N35"/>
    <mergeCell ref="D36:E36"/>
    <mergeCell ref="D34:E3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Cardoso Borges</dc:creator>
  <cp:lastModifiedBy>Beatriz Cardoso Borges</cp:lastModifiedBy>
  <dcterms:created xsi:type="dcterms:W3CDTF">2022-03-13T18:14:52Z</dcterms:created>
  <dcterms:modified xsi:type="dcterms:W3CDTF">2022-03-20T16:38:20Z</dcterms:modified>
</cp:coreProperties>
</file>