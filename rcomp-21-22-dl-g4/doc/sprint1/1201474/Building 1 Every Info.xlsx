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Érica Lopes\"/>
    </mc:Choice>
  </mc:AlternateContent>
  <xr:revisionPtr revIDLastSave="0" documentId="8_{FF18906D-038D-4400-B463-E554F13D52FF}" xr6:coauthVersionLast="47" xr6:coauthVersionMax="47" xr10:uidLastSave="{00000000-0000-0000-0000-000000000000}"/>
  <bookViews>
    <workbookView xWindow="-108" yWindow="-108" windowWidth="23256" windowHeight="12576" xr2:uid="{6A109739-ABDE-48FB-80CA-C4B977A7C360}"/>
  </bookViews>
  <sheets>
    <sheet name="Floors Calculations" sheetId="1" r:id="rId1"/>
    <sheet name="Floors outlets" sheetId="2" r:id="rId2"/>
    <sheet name="wi-fi router range" sheetId="3" r:id="rId3"/>
    <sheet name="Floor0 Cables" sheetId="5" r:id="rId4"/>
    <sheet name="Floor1 Cables" sheetId="6" r:id="rId5"/>
    <sheet name="Cable sizes and iventory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7" i="1" l="1"/>
  <c r="S7" i="1"/>
  <c r="G35" i="8" l="1"/>
  <c r="D34" i="8"/>
  <c r="G21" i="8"/>
  <c r="D17" i="8"/>
  <c r="M18" i="1" l="1"/>
  <c r="N7" i="1"/>
  <c r="R30" i="1" l="1"/>
  <c r="Q34" i="1"/>
  <c r="Q33" i="1"/>
  <c r="Q24" i="1"/>
  <c r="R29" i="1"/>
  <c r="R31" i="1"/>
  <c r="Q26" i="1"/>
  <c r="Q25" i="1"/>
  <c r="R32" i="1"/>
  <c r="Q28" i="1"/>
  <c r="Q32" i="1"/>
  <c r="R34" i="1"/>
  <c r="Q27" i="1"/>
  <c r="Q23" i="1"/>
  <c r="R25" i="1"/>
  <c r="R33" i="1"/>
  <c r="R26" i="1"/>
  <c r="R24" i="1"/>
  <c r="Q29" i="1"/>
  <c r="S29" i="1" s="1"/>
  <c r="T29" i="1" s="1"/>
  <c r="Q22" i="1"/>
  <c r="R27" i="1"/>
  <c r="R23" i="1"/>
  <c r="Q30" i="1"/>
  <c r="Q31" i="1"/>
  <c r="R28" i="1"/>
  <c r="R22" i="1"/>
  <c r="R15" i="1"/>
  <c r="S15" i="1" s="1"/>
  <c r="T15" i="1" s="1"/>
  <c r="R7" i="1"/>
  <c r="Q8" i="1"/>
  <c r="Q7" i="1"/>
  <c r="R12" i="1"/>
  <c r="Q13" i="1"/>
  <c r="Q10" i="1"/>
  <c r="R8" i="1"/>
  <c r="R14" i="1"/>
  <c r="Q11" i="1"/>
  <c r="R11" i="1"/>
  <c r="R10" i="1"/>
  <c r="R9" i="1"/>
  <c r="Q9" i="1"/>
  <c r="R13" i="1"/>
  <c r="Q15" i="1"/>
  <c r="Q12" i="1"/>
  <c r="Q14" i="1"/>
  <c r="S14" i="1" l="1"/>
  <c r="T14" i="1" s="1"/>
  <c r="S30" i="1"/>
  <c r="T30" i="1" s="1"/>
  <c r="S26" i="1"/>
  <c r="T26" i="1" s="1"/>
  <c r="S32" i="1"/>
  <c r="T32" i="1" s="1"/>
  <c r="S8" i="1"/>
  <c r="T8" i="1" s="1"/>
  <c r="S24" i="1"/>
  <c r="T24" i="1" s="1"/>
  <c r="S25" i="1"/>
  <c r="T25" i="1" s="1"/>
  <c r="S10" i="1"/>
  <c r="T10" i="1" s="1"/>
  <c r="S23" i="1"/>
  <c r="T23" i="1" s="1"/>
  <c r="S27" i="1"/>
  <c r="T27" i="1" s="1"/>
  <c r="S33" i="1"/>
  <c r="T33" i="1" s="1"/>
  <c r="S22" i="1"/>
  <c r="T22" i="1" s="1"/>
  <c r="S28" i="1"/>
  <c r="T28" i="1" s="1"/>
  <c r="S34" i="1"/>
  <c r="T34" i="1" s="1"/>
  <c r="S31" i="1"/>
  <c r="T31" i="1" s="1"/>
  <c r="S11" i="1"/>
  <c r="T11" i="1" s="1"/>
  <c r="S9" i="1"/>
  <c r="T9" i="1" s="1"/>
  <c r="S13" i="1"/>
  <c r="T13" i="1" s="1"/>
  <c r="S12" i="1"/>
  <c r="T12" i="1" s="1"/>
  <c r="M30" i="1" l="1"/>
</calcChain>
</file>

<file path=xl/sharedStrings.xml><?xml version="1.0" encoding="utf-8"?>
<sst xmlns="http://schemas.openxmlformats.org/spreadsheetml/2006/main" count="136" uniqueCount="103">
  <si>
    <t>Building 1</t>
  </si>
  <si>
    <t>Measurements</t>
  </si>
  <si>
    <t>Plan Measurements (in m)</t>
  </si>
  <si>
    <t>Conversion (in cm)</t>
  </si>
  <si>
    <t>Number of Outlets</t>
  </si>
  <si>
    <t>Ground Level- Floor #0</t>
  </si>
  <si>
    <r>
      <t>Width (in m)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</si>
  <si>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Length (in m)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</si>
  <si>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Area (in m2)</t>
    </r>
    <r>
      <rPr>
        <vertAlign val="superscript"/>
        <sz val="11"/>
        <color theme="1"/>
        <rFont val="Calibri"/>
        <family val="2"/>
        <scheme val="minor"/>
      </rPr>
      <t>[2]</t>
    </r>
  </si>
  <si>
    <t>N# of Outlets</t>
  </si>
  <si>
    <t>Building Info</t>
  </si>
  <si>
    <t>Number of Floors</t>
  </si>
  <si>
    <t>Width (in m)</t>
  </si>
  <si>
    <t>Length (in m)</t>
  </si>
  <si>
    <r>
      <t>Area (in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</si>
  <si>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Left Subsection Info</t>
  </si>
  <si>
    <t>Ground Floor - Height (in m)</t>
  </si>
  <si>
    <t>Floor #1 - Height (in m)</t>
  </si>
  <si>
    <t>Room 1.0.1</t>
  </si>
  <si>
    <t>Room 1.0.3</t>
  </si>
  <si>
    <t>Room 1.0.4</t>
  </si>
  <si>
    <t>Room 1.0.5</t>
  </si>
  <si>
    <t>Room 1.0.6</t>
  </si>
  <si>
    <t>Room 1.0.7</t>
  </si>
  <si>
    <t>Room 1.0.8</t>
  </si>
  <si>
    <t>Room 1.0.9</t>
  </si>
  <si>
    <t>Room 1.0.10</t>
  </si>
  <si>
    <t>Floor #1</t>
  </si>
  <si>
    <t>Room 1.1.2</t>
  </si>
  <si>
    <t>Room 1.1.3</t>
  </si>
  <si>
    <t>Room 1.1.4</t>
  </si>
  <si>
    <t>Room 1.1.5</t>
  </si>
  <si>
    <t>Room 1.1.6</t>
  </si>
  <si>
    <t>Room 1.1.7</t>
  </si>
  <si>
    <t>Room 1.1.8</t>
  </si>
  <si>
    <t>Room 1.1.9</t>
  </si>
  <si>
    <t>Room 1.1.10</t>
  </si>
  <si>
    <t>Room 1.1.11</t>
  </si>
  <si>
    <t>Room 1.1.12</t>
  </si>
  <si>
    <t>Room 1.1.13</t>
  </si>
  <si>
    <t>Room 1.1.14</t>
  </si>
  <si>
    <r>
      <t>N# of Outlets per 10m</t>
    </r>
    <r>
      <rPr>
        <vertAlign val="superscript"/>
        <sz val="11"/>
        <color theme="1"/>
        <rFont val="Calibri"/>
        <family val="2"/>
        <scheme val="minor"/>
      </rPr>
      <t>2</t>
    </r>
  </si>
  <si>
    <t>Total n# of outlets</t>
  </si>
  <si>
    <t>Has coverage for both floors</t>
  </si>
  <si>
    <t>50meter diameter</t>
  </si>
  <si>
    <t>The ceiling height on this floor is 4 meters.</t>
  </si>
  <si>
    <t xml:space="preserve">Since the ceiling is at 4m the CP will be at 3,5m </t>
  </si>
  <si>
    <t>high so that the max cable size can not be more than 90m</t>
  </si>
  <si>
    <t>Cable size</t>
  </si>
  <si>
    <t>Path</t>
  </si>
  <si>
    <t>Cable lenght (m)</t>
  </si>
  <si>
    <t>HC -&gt; 1.0.10</t>
  </si>
  <si>
    <t>The ceiling height on this floor is 3 meters, however there’s</t>
  </si>
  <si>
    <t>a removable dropped ceiling, placed 2.5 meters from the ground,</t>
  </si>
  <si>
    <t xml:space="preserve"> covering the entire floor</t>
  </si>
  <si>
    <t>HC -&gt; 1.1.14</t>
  </si>
  <si>
    <t>≈39,11</t>
  </si>
  <si>
    <t>≈49,17</t>
  </si>
  <si>
    <t>Floor zero - Ground Level - Rooms</t>
  </si>
  <si>
    <t>Cable size (in m)</t>
  </si>
  <si>
    <t>Floor one - Ground Level - Rooms</t>
  </si>
  <si>
    <t>HC-&gt;Room 1.0.3</t>
  </si>
  <si>
    <t>HC-&gt;Room 1.0.8</t>
  </si>
  <si>
    <t>HC-&gt;Room 1.0.9</t>
  </si>
  <si>
    <t>Floor ONE - Ground Level - Rooms</t>
  </si>
  <si>
    <t>HC-&gt;Room 1.1.9</t>
  </si>
  <si>
    <t>HC-&gt;Room 1.1.12</t>
  </si>
  <si>
    <t>HC-&gt;Room 1.1.2</t>
  </si>
  <si>
    <t>HC-&gt;Room 1.1.14</t>
  </si>
  <si>
    <t>Cable cat6 (in m)</t>
  </si>
  <si>
    <t>Cable CAT6 (in m)</t>
  </si>
  <si>
    <t>Monomode Optical Fibre</t>
  </si>
  <si>
    <t>Floor 0</t>
  </si>
  <si>
    <t>Floor 1</t>
  </si>
  <si>
    <t>in m</t>
  </si>
  <si>
    <t>Multimode Optical Fibre</t>
  </si>
  <si>
    <t>7.5</t>
  </si>
  <si>
    <t>Floor</t>
  </si>
  <si>
    <t>Patch panels cobre CAT6A</t>
  </si>
  <si>
    <t>Patch panels fibra ótica</t>
  </si>
  <si>
    <t>Número de Switches</t>
  </si>
  <si>
    <t>Telecommunications Enclosures(U units)</t>
  </si>
  <si>
    <t>4=3(24 portas) nos CP's das divisoes 1.0.3, 1.0.8 e 1.0.9</t>
  </si>
  <si>
    <t>e ainda 1HC da sala 1.0.2</t>
  </si>
  <si>
    <t>2 (24 connectors ) on IC and Mc from division 1.0.2</t>
  </si>
  <si>
    <t>4 telecommunications enclosures de 19'' e 9U para</t>
  </si>
  <si>
    <t xml:space="preserve"> armazenar os Cp's, HC, IC e MC</t>
  </si>
  <si>
    <t>5=4(24 portas) nos CP's das divisões 1.1.2, 1.1.9, 1.1.12,1.1.14</t>
  </si>
  <si>
    <t>e ainda 1HC da sala 1.1.1</t>
  </si>
  <si>
    <t xml:space="preserve">1(24 connectors) in HC </t>
  </si>
  <si>
    <t>5=4(24 portas) nos CP's das divisões 1.1.2, 1.1.9</t>
  </si>
  <si>
    <t>5 telecommunications enclosures de 19'' e 9U para</t>
  </si>
  <si>
    <t xml:space="preserve"> armazenar os Cp's, HC</t>
  </si>
  <si>
    <t>Total</t>
  </si>
  <si>
    <t>Outros equipamentos</t>
  </si>
  <si>
    <t>IC</t>
  </si>
  <si>
    <t>HC</t>
  </si>
  <si>
    <t>CP</t>
  </si>
  <si>
    <t>MC</t>
  </si>
  <si>
    <t>Access Points</t>
  </si>
  <si>
    <t>,1HC da sala 1.0.2, 1 para o IC e outro para o Mc</t>
  </si>
  <si>
    <t>6=3(24 portas) nos CP's das divisoes 1.0.3, 1.0.8 e 1.0.9</t>
  </si>
  <si>
    <t>1.1.12,1.1.14 e ainda uma ligação ao 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</si>
</sst>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2" xfId="0" applyBorder="1"/>
    <xf numFmtId="0" fontId="0" fillId="0" borderId="4" xfId="0" applyBorder="1"/>
    <xf numFmtId="0" fontId="0" fillId="2" borderId="6" xfId="0" applyFill="1" applyBorder="1"/>
    <xf numFmtId="0" fontId="0" fillId="2" borderId="6" xfId="0" applyFill="1" applyBorder="1" applyAlignment="1">
      <alignment horizontal="center"/>
    </xf>
    <xf numFmtId="0" fontId="0" fillId="2" borderId="8" xfId="0" applyFill="1" applyBorder="1"/>
    <xf numFmtId="0" fontId="1" fillId="2" borderId="6" xfId="0" applyFont="1" applyFill="1" applyBorder="1" applyAlignment="1">
      <alignment horizontal="center"/>
    </xf>
    <xf numFmtId="0" fontId="0" fillId="2" borderId="8" xfId="0" applyFill="1" applyBorder="1" applyAlignment="1">
      <alignment vertical="center"/>
    </xf>
    <xf numFmtId="0" fontId="0" fillId="3" borderId="1" xfId="0" applyFill="1" applyBorder="1"/>
    <xf numFmtId="164" fontId="0" fillId="3" borderId="1" xfId="0" applyNumberFormat="1" applyFill="1" applyBorder="1"/>
    <xf numFmtId="0" fontId="0" fillId="2" borderId="1" xfId="0" applyFill="1" applyBorder="1"/>
    <xf numFmtId="0" fontId="0" fillId="3" borderId="8" xfId="0" applyFill="1" applyBorder="1"/>
    <xf numFmtId="165" fontId="0" fillId="3" borderId="1" xfId="0" applyNumberFormat="1" applyFill="1" applyBorder="1"/>
    <xf numFmtId="0" fontId="0" fillId="3" borderId="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/>
    <xf numFmtId="0" fontId="0" fillId="3" borderId="9" xfId="0" applyFill="1" applyBorder="1"/>
    <xf numFmtId="1" fontId="0" fillId="3" borderId="1" xfId="0" applyNumberFormat="1" applyFill="1" applyBorder="1"/>
    <xf numFmtId="0" fontId="0" fillId="3" borderId="0" xfId="0" applyFill="1"/>
    <xf numFmtId="0" fontId="1" fillId="4" borderId="6" xfId="0" applyFont="1" applyFill="1" applyBorder="1" applyAlignment="1">
      <alignment horizontal="right"/>
    </xf>
    <xf numFmtId="0" fontId="1" fillId="4" borderId="8" xfId="0" applyFont="1" applyFill="1" applyBorder="1" applyAlignment="1">
      <alignment horizontal="center"/>
    </xf>
    <xf numFmtId="0" fontId="0" fillId="3" borderId="10" xfId="0" applyFill="1" applyBorder="1"/>
    <xf numFmtId="0" fontId="0" fillId="0" borderId="0" xfId="0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0" borderId="0" xfId="0" applyFill="1"/>
    <xf numFmtId="0" fontId="0" fillId="3" borderId="1" xfId="0" applyFill="1" applyBorder="1" applyAlignment="1">
      <alignment horizontal="center"/>
    </xf>
    <xf numFmtId="0" fontId="0" fillId="3" borderId="6" xfId="0" applyFill="1" applyBorder="1"/>
    <xf numFmtId="0" fontId="0" fillId="3" borderId="11" xfId="0" applyFill="1" applyBorder="1"/>
    <xf numFmtId="0" fontId="0" fillId="0" borderId="0" xfId="0" applyBorder="1"/>
    <xf numFmtId="0" fontId="0" fillId="3" borderId="14" xfId="0" applyFill="1" applyBorder="1"/>
    <xf numFmtId="0" fontId="1" fillId="2" borderId="12" xfId="0" applyFont="1" applyFill="1" applyBorder="1"/>
    <xf numFmtId="164" fontId="0" fillId="2" borderId="1" xfId="0" applyNumberFormat="1" applyFill="1" applyBorder="1"/>
    <xf numFmtId="0" fontId="1" fillId="2" borderId="6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3" borderId="10" xfId="0" applyFont="1" applyFill="1" applyBorder="1"/>
    <xf numFmtId="0" fontId="0" fillId="0" borderId="13" xfId="0" applyBorder="1"/>
    <xf numFmtId="0" fontId="0" fillId="3" borderId="13" xfId="0" applyFill="1" applyBorder="1"/>
    <xf numFmtId="0" fontId="1" fillId="2" borderId="1" xfId="0" applyFont="1" applyFill="1" applyBorder="1" applyAlignment="1"/>
    <xf numFmtId="0" fontId="0" fillId="2" borderId="7" xfId="0" applyFill="1" applyBorder="1"/>
    <xf numFmtId="0" fontId="0" fillId="3" borderId="11" xfId="0" applyFill="1" applyBorder="1" applyAlignment="1">
      <alignment vertical="center"/>
    </xf>
    <xf numFmtId="0" fontId="0" fillId="3" borderId="4" xfId="0" applyFill="1" applyBorder="1"/>
    <xf numFmtId="0" fontId="0" fillId="3" borderId="0" xfId="0" applyFill="1" applyBorder="1"/>
    <xf numFmtId="0" fontId="0" fillId="3" borderId="2" xfId="0" applyFill="1" applyBorder="1"/>
    <xf numFmtId="0" fontId="0" fillId="3" borderId="3" xfId="0" applyFill="1" applyBorder="1"/>
    <xf numFmtId="164" fontId="0" fillId="3" borderId="8" xfId="0" applyNumberFormat="1" applyFill="1" applyBorder="1"/>
    <xf numFmtId="1" fontId="0" fillId="3" borderId="8" xfId="0" applyNumberFormat="1" applyFill="1" applyBorder="1"/>
    <xf numFmtId="0" fontId="0" fillId="0" borderId="13" xfId="0" applyFill="1" applyBorder="1"/>
    <xf numFmtId="0" fontId="0" fillId="3" borderId="7" xfId="0" applyFill="1" applyBorder="1"/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513676</xdr:colOff>
      <xdr:row>45</xdr:row>
      <xdr:rowOff>5856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31520"/>
          <a:ext cx="5390476" cy="7571428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48</xdr:row>
      <xdr:rowOff>0</xdr:rowOff>
    </xdr:from>
    <xdr:to>
      <xdr:col>9</xdr:col>
      <xdr:colOff>138191</xdr:colOff>
      <xdr:row>87</xdr:row>
      <xdr:rowOff>48631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5543" y="8926286"/>
          <a:ext cx="4819048" cy="7265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8</xdr:col>
      <xdr:colOff>216218</xdr:colOff>
      <xdr:row>40</xdr:row>
      <xdr:rowOff>38100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8250BEDE-1D67-47CA-96F7-33F6B4CEB8D7}"/>
            </a:ext>
          </a:extLst>
        </xdr:cNvPr>
        <xdr:cNvGrpSpPr/>
      </xdr:nvGrpSpPr>
      <xdr:grpSpPr>
        <a:xfrm>
          <a:off x="609600" y="925286"/>
          <a:ext cx="4483418" cy="6515100"/>
          <a:chOff x="4081462" y="171450"/>
          <a:chExt cx="4483418" cy="6515100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41CB5B02-961B-438B-84FC-F7AF6023FE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81462" y="171450"/>
            <a:ext cx="4029075" cy="6515100"/>
          </a:xfrm>
          <a:prstGeom prst="rect">
            <a:avLst/>
          </a:prstGeom>
        </xdr:spPr>
      </xdr:pic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E600237E-D3A9-4411-B36B-1EF1E8236FF0}"/>
              </a:ext>
            </a:extLst>
          </xdr:cNvPr>
          <xdr:cNvSpPr/>
        </xdr:nvSpPr>
        <xdr:spPr>
          <a:xfrm>
            <a:off x="4389917" y="6076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2CC62128-F2F5-4422-B75E-D39F5DCE81D4}"/>
              </a:ext>
            </a:extLst>
          </xdr:cNvPr>
          <xdr:cNvSpPr/>
        </xdr:nvSpPr>
        <xdr:spPr>
          <a:xfrm>
            <a:off x="4637093" y="6076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B1E2C11C-CC8B-4A9A-9EB9-B62FBD935ED4}"/>
              </a:ext>
            </a:extLst>
          </xdr:cNvPr>
          <xdr:cNvSpPr/>
        </xdr:nvSpPr>
        <xdr:spPr>
          <a:xfrm>
            <a:off x="4389917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F0F572B0-EEBF-42A8-B0EE-9AA1D8F51B1D}"/>
              </a:ext>
            </a:extLst>
          </xdr:cNvPr>
          <xdr:cNvSpPr/>
        </xdr:nvSpPr>
        <xdr:spPr>
          <a:xfrm>
            <a:off x="4631140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E4A5CD37-781B-4F4E-81D0-F45D6CB7CBCF}"/>
              </a:ext>
            </a:extLst>
          </xdr:cNvPr>
          <xdr:cNvSpPr/>
        </xdr:nvSpPr>
        <xdr:spPr>
          <a:xfrm>
            <a:off x="5928364" y="6076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C505CE1C-DC3D-4F70-9B7B-F91EBBF57155}"/>
              </a:ext>
            </a:extLst>
          </xdr:cNvPr>
          <xdr:cNvSpPr/>
        </xdr:nvSpPr>
        <xdr:spPr>
          <a:xfrm>
            <a:off x="6174901" y="61277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3C03B5EF-3F17-494D-9891-833DBB6C867A}"/>
              </a:ext>
            </a:extLst>
          </xdr:cNvPr>
          <xdr:cNvSpPr/>
        </xdr:nvSpPr>
        <xdr:spPr>
          <a:xfrm>
            <a:off x="6421438" y="61277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A0225004-C857-4E68-AA07-EDAAF7645909}"/>
              </a:ext>
            </a:extLst>
          </xdr:cNvPr>
          <xdr:cNvSpPr/>
        </xdr:nvSpPr>
        <xdr:spPr>
          <a:xfrm>
            <a:off x="5928364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7" name="Retângulo 16">
            <a:extLst>
              <a:ext uri="{FF2B5EF4-FFF2-40B4-BE49-F238E27FC236}">
                <a16:creationId xmlns:a16="http://schemas.microsoft.com/office/drawing/2014/main" id="{2D863F38-6527-4DBE-8021-144F733CB2E6}"/>
              </a:ext>
            </a:extLst>
          </xdr:cNvPr>
          <xdr:cNvSpPr/>
        </xdr:nvSpPr>
        <xdr:spPr>
          <a:xfrm>
            <a:off x="6174901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F541EFA3-AE73-41A4-BB24-014829B4EE53}"/>
              </a:ext>
            </a:extLst>
          </xdr:cNvPr>
          <xdr:cNvSpPr/>
        </xdr:nvSpPr>
        <xdr:spPr>
          <a:xfrm>
            <a:off x="6421438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88C991E8-642C-4D58-BA75-98EBF5448E59}"/>
              </a:ext>
            </a:extLst>
          </xdr:cNvPr>
          <xdr:cNvSpPr/>
        </xdr:nvSpPr>
        <xdr:spPr>
          <a:xfrm>
            <a:off x="6812598" y="6076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2692A021-40A7-4788-8E1B-013B00B8511E}"/>
              </a:ext>
            </a:extLst>
          </xdr:cNvPr>
          <xdr:cNvSpPr/>
        </xdr:nvSpPr>
        <xdr:spPr>
          <a:xfrm>
            <a:off x="7059135" y="6076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49EA18C5-1B93-4B77-98D8-9A3D240B944A}"/>
              </a:ext>
            </a:extLst>
          </xdr:cNvPr>
          <xdr:cNvSpPr/>
        </xdr:nvSpPr>
        <xdr:spPr>
          <a:xfrm>
            <a:off x="7300358" y="6076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55D171A9-51F0-4A75-9D4D-91917089E1B6}"/>
              </a:ext>
            </a:extLst>
          </xdr:cNvPr>
          <xdr:cNvSpPr/>
        </xdr:nvSpPr>
        <xdr:spPr>
          <a:xfrm>
            <a:off x="7579678" y="6076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5BE261C3-3609-43DC-9BB0-C36746478E07}"/>
              </a:ext>
            </a:extLst>
          </xdr:cNvPr>
          <xdr:cNvSpPr/>
        </xdr:nvSpPr>
        <xdr:spPr>
          <a:xfrm>
            <a:off x="7783116" y="6076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9B0E2C14-99F2-458E-8171-B5681CCFF791}"/>
              </a:ext>
            </a:extLst>
          </xdr:cNvPr>
          <xdr:cNvSpPr/>
        </xdr:nvSpPr>
        <xdr:spPr>
          <a:xfrm>
            <a:off x="6812598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5" name="Retângulo 24">
            <a:extLst>
              <a:ext uri="{FF2B5EF4-FFF2-40B4-BE49-F238E27FC236}">
                <a16:creationId xmlns:a16="http://schemas.microsoft.com/office/drawing/2014/main" id="{427ED7AB-5F29-4921-BAED-B914057257B0}"/>
              </a:ext>
            </a:extLst>
          </xdr:cNvPr>
          <xdr:cNvSpPr/>
        </xdr:nvSpPr>
        <xdr:spPr>
          <a:xfrm>
            <a:off x="7059135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654640B7-8A81-413F-A761-CCC73CCB6A2C}"/>
              </a:ext>
            </a:extLst>
          </xdr:cNvPr>
          <xdr:cNvSpPr/>
        </xdr:nvSpPr>
        <xdr:spPr>
          <a:xfrm>
            <a:off x="7300358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324765B4-32DB-4CB2-B249-DBE52F4E79C0}"/>
              </a:ext>
            </a:extLst>
          </xdr:cNvPr>
          <xdr:cNvSpPr/>
        </xdr:nvSpPr>
        <xdr:spPr>
          <a:xfrm>
            <a:off x="7579678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8" name="Retângulo 27">
            <a:extLst>
              <a:ext uri="{FF2B5EF4-FFF2-40B4-BE49-F238E27FC236}">
                <a16:creationId xmlns:a16="http://schemas.microsoft.com/office/drawing/2014/main" id="{5DE5E4A1-1766-419A-9E8E-DBBC91CDBB80}"/>
              </a:ext>
            </a:extLst>
          </xdr:cNvPr>
          <xdr:cNvSpPr/>
        </xdr:nvSpPr>
        <xdr:spPr>
          <a:xfrm>
            <a:off x="7783116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9" name="Retângulo 28">
            <a:extLst>
              <a:ext uri="{FF2B5EF4-FFF2-40B4-BE49-F238E27FC236}">
                <a16:creationId xmlns:a16="http://schemas.microsoft.com/office/drawing/2014/main" id="{B1B467A7-AE29-47EB-B73E-2379DF25B68A}"/>
              </a:ext>
            </a:extLst>
          </xdr:cNvPr>
          <xdr:cNvSpPr/>
        </xdr:nvSpPr>
        <xdr:spPr>
          <a:xfrm>
            <a:off x="4826318" y="22739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2BD55C27-2757-4126-8EAC-541637DFDBEF}"/>
              </a:ext>
            </a:extLst>
          </xdr:cNvPr>
          <xdr:cNvSpPr/>
        </xdr:nvSpPr>
        <xdr:spPr>
          <a:xfrm>
            <a:off x="5115878" y="22739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1" name="Retângulo 30">
            <a:extLst>
              <a:ext uri="{FF2B5EF4-FFF2-40B4-BE49-F238E27FC236}">
                <a16:creationId xmlns:a16="http://schemas.microsoft.com/office/drawing/2014/main" id="{5274FC64-9705-461F-91C1-E80F3C450BC8}"/>
              </a:ext>
            </a:extLst>
          </xdr:cNvPr>
          <xdr:cNvSpPr/>
        </xdr:nvSpPr>
        <xdr:spPr>
          <a:xfrm>
            <a:off x="4826318" y="265938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2" name="Retângulo 31">
            <a:extLst>
              <a:ext uri="{FF2B5EF4-FFF2-40B4-BE49-F238E27FC236}">
                <a16:creationId xmlns:a16="http://schemas.microsoft.com/office/drawing/2014/main" id="{C92536EC-AD75-4151-9D34-6F85307FB729}"/>
              </a:ext>
            </a:extLst>
          </xdr:cNvPr>
          <xdr:cNvSpPr/>
        </xdr:nvSpPr>
        <xdr:spPr>
          <a:xfrm>
            <a:off x="5115878" y="265938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3" name="Retângulo 32">
            <a:extLst>
              <a:ext uri="{FF2B5EF4-FFF2-40B4-BE49-F238E27FC236}">
                <a16:creationId xmlns:a16="http://schemas.microsoft.com/office/drawing/2014/main" id="{B7434B66-9F23-4BB5-8B79-576D50BA7568}"/>
              </a:ext>
            </a:extLst>
          </xdr:cNvPr>
          <xdr:cNvSpPr/>
        </xdr:nvSpPr>
        <xdr:spPr>
          <a:xfrm>
            <a:off x="5428298" y="22739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4" name="Retângulo 33">
            <a:extLst>
              <a:ext uri="{FF2B5EF4-FFF2-40B4-BE49-F238E27FC236}">
                <a16:creationId xmlns:a16="http://schemas.microsoft.com/office/drawing/2014/main" id="{262CAD4A-1B07-40B9-B9D8-B8192BBCD635}"/>
              </a:ext>
            </a:extLst>
          </xdr:cNvPr>
          <xdr:cNvSpPr/>
        </xdr:nvSpPr>
        <xdr:spPr>
          <a:xfrm>
            <a:off x="5740718" y="227711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5" name="Retângulo 34">
            <a:extLst>
              <a:ext uri="{FF2B5EF4-FFF2-40B4-BE49-F238E27FC236}">
                <a16:creationId xmlns:a16="http://schemas.microsoft.com/office/drawing/2014/main" id="{B7D65FE4-3756-443F-AA84-D19D9CBAFCDE}"/>
              </a:ext>
            </a:extLst>
          </xdr:cNvPr>
          <xdr:cNvSpPr/>
        </xdr:nvSpPr>
        <xdr:spPr>
          <a:xfrm>
            <a:off x="6053138" y="22739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6" name="Retângulo 35">
            <a:extLst>
              <a:ext uri="{FF2B5EF4-FFF2-40B4-BE49-F238E27FC236}">
                <a16:creationId xmlns:a16="http://schemas.microsoft.com/office/drawing/2014/main" id="{60538DB6-5C00-403D-BB2E-EF36F65E101F}"/>
              </a:ext>
            </a:extLst>
          </xdr:cNvPr>
          <xdr:cNvSpPr/>
        </xdr:nvSpPr>
        <xdr:spPr>
          <a:xfrm>
            <a:off x="6345556" y="22739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7" name="Retângulo 36">
            <a:extLst>
              <a:ext uri="{FF2B5EF4-FFF2-40B4-BE49-F238E27FC236}">
                <a16:creationId xmlns:a16="http://schemas.microsoft.com/office/drawing/2014/main" id="{CEDB6DBB-1048-44CF-8629-4AE165BCAA82}"/>
              </a:ext>
            </a:extLst>
          </xdr:cNvPr>
          <xdr:cNvSpPr/>
        </xdr:nvSpPr>
        <xdr:spPr>
          <a:xfrm>
            <a:off x="6053138" y="265938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8" name="Retângulo 37">
            <a:extLst>
              <a:ext uri="{FF2B5EF4-FFF2-40B4-BE49-F238E27FC236}">
                <a16:creationId xmlns:a16="http://schemas.microsoft.com/office/drawing/2014/main" id="{1793ECED-10C4-486F-9AB3-7352B8D9D372}"/>
              </a:ext>
            </a:extLst>
          </xdr:cNvPr>
          <xdr:cNvSpPr/>
        </xdr:nvSpPr>
        <xdr:spPr>
          <a:xfrm>
            <a:off x="5428298" y="265938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9" name="Retângulo 38">
            <a:extLst>
              <a:ext uri="{FF2B5EF4-FFF2-40B4-BE49-F238E27FC236}">
                <a16:creationId xmlns:a16="http://schemas.microsoft.com/office/drawing/2014/main" id="{B6EFFC0C-58F9-4061-9997-400E5808FDF7}"/>
              </a:ext>
            </a:extLst>
          </xdr:cNvPr>
          <xdr:cNvSpPr/>
        </xdr:nvSpPr>
        <xdr:spPr>
          <a:xfrm>
            <a:off x="5741313" y="266065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0" name="Retângulo 39">
            <a:extLst>
              <a:ext uri="{FF2B5EF4-FFF2-40B4-BE49-F238E27FC236}">
                <a16:creationId xmlns:a16="http://schemas.microsoft.com/office/drawing/2014/main" id="{B8D5FA97-F67E-4E56-A91D-E51E7CBE696F}"/>
              </a:ext>
            </a:extLst>
          </xdr:cNvPr>
          <xdr:cNvSpPr/>
        </xdr:nvSpPr>
        <xdr:spPr>
          <a:xfrm>
            <a:off x="6345556" y="266065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1" name="Retângulo 40">
            <a:extLst>
              <a:ext uri="{FF2B5EF4-FFF2-40B4-BE49-F238E27FC236}">
                <a16:creationId xmlns:a16="http://schemas.microsoft.com/office/drawing/2014/main" id="{6CEFE76A-6EE9-410C-9E6E-20E6CAA68C17}"/>
              </a:ext>
            </a:extLst>
          </xdr:cNvPr>
          <xdr:cNvSpPr/>
        </xdr:nvSpPr>
        <xdr:spPr>
          <a:xfrm>
            <a:off x="6708735" y="22739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2" name="Retângulo 41">
            <a:extLst>
              <a:ext uri="{FF2B5EF4-FFF2-40B4-BE49-F238E27FC236}">
                <a16:creationId xmlns:a16="http://schemas.microsoft.com/office/drawing/2014/main" id="{F5BEFF43-964D-481B-B97F-18B0B97ED2FF}"/>
              </a:ext>
            </a:extLst>
          </xdr:cNvPr>
          <xdr:cNvSpPr/>
        </xdr:nvSpPr>
        <xdr:spPr>
          <a:xfrm>
            <a:off x="6979304" y="22739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3" name="Retângulo 42">
            <a:extLst>
              <a:ext uri="{FF2B5EF4-FFF2-40B4-BE49-F238E27FC236}">
                <a16:creationId xmlns:a16="http://schemas.microsoft.com/office/drawing/2014/main" id="{3DF76BD3-9D7D-4B64-A117-E79D78335565}"/>
              </a:ext>
            </a:extLst>
          </xdr:cNvPr>
          <xdr:cNvSpPr/>
        </xdr:nvSpPr>
        <xdr:spPr>
          <a:xfrm>
            <a:off x="7249874" y="22739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4" name="Retângulo 43">
            <a:extLst>
              <a:ext uri="{FF2B5EF4-FFF2-40B4-BE49-F238E27FC236}">
                <a16:creationId xmlns:a16="http://schemas.microsoft.com/office/drawing/2014/main" id="{C25B1558-4772-423C-93D2-47A92B5EC8CA}"/>
              </a:ext>
            </a:extLst>
          </xdr:cNvPr>
          <xdr:cNvSpPr/>
        </xdr:nvSpPr>
        <xdr:spPr>
          <a:xfrm>
            <a:off x="6708735" y="265938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5" name="Retângulo 44">
            <a:extLst>
              <a:ext uri="{FF2B5EF4-FFF2-40B4-BE49-F238E27FC236}">
                <a16:creationId xmlns:a16="http://schemas.microsoft.com/office/drawing/2014/main" id="{90CD631B-177A-4704-9D2F-046EF71A7D2F}"/>
              </a:ext>
            </a:extLst>
          </xdr:cNvPr>
          <xdr:cNvSpPr/>
        </xdr:nvSpPr>
        <xdr:spPr>
          <a:xfrm>
            <a:off x="6979304" y="265938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6" name="Retângulo 45">
            <a:extLst>
              <a:ext uri="{FF2B5EF4-FFF2-40B4-BE49-F238E27FC236}">
                <a16:creationId xmlns:a16="http://schemas.microsoft.com/office/drawing/2014/main" id="{5CAFB35C-67D0-452B-9F44-B287058B42BC}"/>
              </a:ext>
            </a:extLst>
          </xdr:cNvPr>
          <xdr:cNvSpPr/>
        </xdr:nvSpPr>
        <xdr:spPr>
          <a:xfrm>
            <a:off x="7249874" y="265938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7" name="Retângulo 46">
            <a:extLst>
              <a:ext uri="{FF2B5EF4-FFF2-40B4-BE49-F238E27FC236}">
                <a16:creationId xmlns:a16="http://schemas.microsoft.com/office/drawing/2014/main" id="{3281AC9E-2204-4505-ACE7-A452CB1A8138}"/>
              </a:ext>
            </a:extLst>
          </xdr:cNvPr>
          <xdr:cNvSpPr/>
        </xdr:nvSpPr>
        <xdr:spPr>
          <a:xfrm>
            <a:off x="7017245" y="370141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8" name="Retângulo 47">
            <a:extLst>
              <a:ext uri="{FF2B5EF4-FFF2-40B4-BE49-F238E27FC236}">
                <a16:creationId xmlns:a16="http://schemas.microsoft.com/office/drawing/2014/main" id="{3211618F-07AE-43E2-8662-A437E6AA554E}"/>
              </a:ext>
            </a:extLst>
          </xdr:cNvPr>
          <xdr:cNvSpPr/>
        </xdr:nvSpPr>
        <xdr:spPr>
          <a:xfrm>
            <a:off x="7300358" y="370141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9" name="Retângulo 48">
            <a:extLst>
              <a:ext uri="{FF2B5EF4-FFF2-40B4-BE49-F238E27FC236}">
                <a16:creationId xmlns:a16="http://schemas.microsoft.com/office/drawing/2014/main" id="{CE9F74EE-912A-4F2A-852F-E276BF479842}"/>
              </a:ext>
            </a:extLst>
          </xdr:cNvPr>
          <xdr:cNvSpPr/>
        </xdr:nvSpPr>
        <xdr:spPr>
          <a:xfrm>
            <a:off x="7617619" y="370141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0" name="Retângulo 49">
            <a:extLst>
              <a:ext uri="{FF2B5EF4-FFF2-40B4-BE49-F238E27FC236}">
                <a16:creationId xmlns:a16="http://schemas.microsoft.com/office/drawing/2014/main" id="{16289A88-1FB7-424F-959D-4A824DB01987}"/>
              </a:ext>
            </a:extLst>
          </xdr:cNvPr>
          <xdr:cNvSpPr/>
        </xdr:nvSpPr>
        <xdr:spPr>
          <a:xfrm>
            <a:off x="7017245" y="401193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1" name="Retângulo 50">
            <a:extLst>
              <a:ext uri="{FF2B5EF4-FFF2-40B4-BE49-F238E27FC236}">
                <a16:creationId xmlns:a16="http://schemas.microsoft.com/office/drawing/2014/main" id="{89D23C60-D253-4EDC-AD48-D3810337AFF6}"/>
              </a:ext>
            </a:extLst>
          </xdr:cNvPr>
          <xdr:cNvSpPr/>
        </xdr:nvSpPr>
        <xdr:spPr>
          <a:xfrm>
            <a:off x="7300358" y="401193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2" name="Retângulo 51">
            <a:extLst>
              <a:ext uri="{FF2B5EF4-FFF2-40B4-BE49-F238E27FC236}">
                <a16:creationId xmlns:a16="http://schemas.microsoft.com/office/drawing/2014/main" id="{B4A5DAE3-B76E-43CD-A09E-B38C55326565}"/>
              </a:ext>
            </a:extLst>
          </xdr:cNvPr>
          <xdr:cNvSpPr/>
        </xdr:nvSpPr>
        <xdr:spPr>
          <a:xfrm>
            <a:off x="7617619" y="401193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3" name="Retângulo 52">
            <a:extLst>
              <a:ext uri="{FF2B5EF4-FFF2-40B4-BE49-F238E27FC236}">
                <a16:creationId xmlns:a16="http://schemas.microsoft.com/office/drawing/2014/main" id="{C00898A1-37B3-445B-BBA4-80F8CDDC2701}"/>
              </a:ext>
            </a:extLst>
          </xdr:cNvPr>
          <xdr:cNvSpPr/>
        </xdr:nvSpPr>
        <xdr:spPr>
          <a:xfrm>
            <a:off x="7164118" y="486664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4" name="Retângulo 53">
            <a:extLst>
              <a:ext uri="{FF2B5EF4-FFF2-40B4-BE49-F238E27FC236}">
                <a16:creationId xmlns:a16="http://schemas.microsoft.com/office/drawing/2014/main" id="{A0DCA088-EA39-4FC3-8CD6-3A31AABEA580}"/>
              </a:ext>
            </a:extLst>
          </xdr:cNvPr>
          <xdr:cNvSpPr/>
        </xdr:nvSpPr>
        <xdr:spPr>
          <a:xfrm>
            <a:off x="7164118" y="514113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5" name="Retângulo 54">
            <a:extLst>
              <a:ext uri="{FF2B5EF4-FFF2-40B4-BE49-F238E27FC236}">
                <a16:creationId xmlns:a16="http://schemas.microsoft.com/office/drawing/2014/main" id="{B90A30BE-D3BC-4870-9D93-57372F3EA2F0}"/>
              </a:ext>
            </a:extLst>
          </xdr:cNvPr>
          <xdr:cNvSpPr/>
        </xdr:nvSpPr>
        <xdr:spPr>
          <a:xfrm>
            <a:off x="7168976" y="5598948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6" name="Retângulo 55">
            <a:extLst>
              <a:ext uri="{FF2B5EF4-FFF2-40B4-BE49-F238E27FC236}">
                <a16:creationId xmlns:a16="http://schemas.microsoft.com/office/drawing/2014/main" id="{97C2F0F8-272B-44AA-A98A-804107759399}"/>
              </a:ext>
            </a:extLst>
          </xdr:cNvPr>
          <xdr:cNvSpPr/>
        </xdr:nvSpPr>
        <xdr:spPr>
          <a:xfrm>
            <a:off x="7168976" y="5381391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7" name="Retângulo 56">
            <a:extLst>
              <a:ext uri="{FF2B5EF4-FFF2-40B4-BE49-F238E27FC236}">
                <a16:creationId xmlns:a16="http://schemas.microsoft.com/office/drawing/2014/main" id="{E0A436F5-C627-49A4-B645-F96A1510590E}"/>
              </a:ext>
            </a:extLst>
          </xdr:cNvPr>
          <xdr:cNvSpPr/>
        </xdr:nvSpPr>
        <xdr:spPr>
          <a:xfrm>
            <a:off x="7160292" y="4609944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8" name="Retângulo 57">
            <a:extLst>
              <a:ext uri="{FF2B5EF4-FFF2-40B4-BE49-F238E27FC236}">
                <a16:creationId xmlns:a16="http://schemas.microsoft.com/office/drawing/2014/main" id="{4330A91F-3153-4905-99CC-5D92D7BDDB65}"/>
              </a:ext>
            </a:extLst>
          </xdr:cNvPr>
          <xdr:cNvSpPr/>
        </xdr:nvSpPr>
        <xdr:spPr>
          <a:xfrm>
            <a:off x="7617619" y="4609944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9" name="Retângulo 58">
            <a:extLst>
              <a:ext uri="{FF2B5EF4-FFF2-40B4-BE49-F238E27FC236}">
                <a16:creationId xmlns:a16="http://schemas.microsoft.com/office/drawing/2014/main" id="{CA24E263-B7D5-46DC-98E4-A3C81B648E92}"/>
              </a:ext>
            </a:extLst>
          </xdr:cNvPr>
          <xdr:cNvSpPr/>
        </xdr:nvSpPr>
        <xdr:spPr>
          <a:xfrm>
            <a:off x="7617619" y="487199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60" name="Retângulo 59">
            <a:extLst>
              <a:ext uri="{FF2B5EF4-FFF2-40B4-BE49-F238E27FC236}">
                <a16:creationId xmlns:a16="http://schemas.microsoft.com/office/drawing/2014/main" id="{F25E0937-99FA-4B32-ABB7-73CACAAABD4C}"/>
              </a:ext>
            </a:extLst>
          </xdr:cNvPr>
          <xdr:cNvSpPr/>
        </xdr:nvSpPr>
        <xdr:spPr>
          <a:xfrm>
            <a:off x="7613793" y="514130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61" name="Retângulo 60">
            <a:extLst>
              <a:ext uri="{FF2B5EF4-FFF2-40B4-BE49-F238E27FC236}">
                <a16:creationId xmlns:a16="http://schemas.microsoft.com/office/drawing/2014/main" id="{BA55ABE4-91DB-4C25-A880-B71AB76F7354}"/>
              </a:ext>
            </a:extLst>
          </xdr:cNvPr>
          <xdr:cNvSpPr/>
        </xdr:nvSpPr>
        <xdr:spPr>
          <a:xfrm>
            <a:off x="7609967" y="5379789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62" name="Retângulo 61">
            <a:extLst>
              <a:ext uri="{FF2B5EF4-FFF2-40B4-BE49-F238E27FC236}">
                <a16:creationId xmlns:a16="http://schemas.microsoft.com/office/drawing/2014/main" id="{5AD7076E-FC8C-4D5C-B5DD-08D6C9136F80}"/>
              </a:ext>
            </a:extLst>
          </xdr:cNvPr>
          <xdr:cNvSpPr/>
        </xdr:nvSpPr>
        <xdr:spPr>
          <a:xfrm>
            <a:off x="7617619" y="5598948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cxnSp macro="">
        <xdr:nvCxnSpPr>
          <xdr:cNvPr id="63" name="Conexão reta 62">
            <a:extLst>
              <a:ext uri="{FF2B5EF4-FFF2-40B4-BE49-F238E27FC236}">
                <a16:creationId xmlns:a16="http://schemas.microsoft.com/office/drawing/2014/main" id="{CF4D30EB-00A5-4DD1-99F5-9C741421391D}"/>
              </a:ext>
            </a:extLst>
          </xdr:cNvPr>
          <xdr:cNvCxnSpPr/>
        </xdr:nvCxnSpPr>
        <xdr:spPr>
          <a:xfrm>
            <a:off x="8564880" y="2428240"/>
            <a:ext cx="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Conexão reta 63">
            <a:extLst>
              <a:ext uri="{FF2B5EF4-FFF2-40B4-BE49-F238E27FC236}">
                <a16:creationId xmlns:a16="http://schemas.microsoft.com/office/drawing/2014/main" id="{AA207A4F-36E2-489A-889D-C5BA0EFBEB1F}"/>
              </a:ext>
            </a:extLst>
          </xdr:cNvPr>
          <xdr:cNvCxnSpPr>
            <a:cxnSpLocks/>
          </xdr:cNvCxnSpPr>
        </xdr:nvCxnSpPr>
        <xdr:spPr>
          <a:xfrm>
            <a:off x="7485060" y="3555862"/>
            <a:ext cx="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Conexão reta 64">
            <a:extLst>
              <a:ext uri="{FF2B5EF4-FFF2-40B4-BE49-F238E27FC236}">
                <a16:creationId xmlns:a16="http://schemas.microsoft.com/office/drawing/2014/main" id="{F067A928-07D8-4E5F-9957-A9022115364C}"/>
              </a:ext>
            </a:extLst>
          </xdr:cNvPr>
          <xdr:cNvCxnSpPr>
            <a:cxnSpLocks/>
          </xdr:cNvCxnSpPr>
        </xdr:nvCxnSpPr>
        <xdr:spPr>
          <a:xfrm>
            <a:off x="5928364" y="3167380"/>
            <a:ext cx="0" cy="25400"/>
          </a:xfrm>
          <a:prstGeom prst="line">
            <a:avLst/>
          </a:prstGeom>
          <a:ln w="6350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Conexão reta 65">
            <a:extLst>
              <a:ext uri="{FF2B5EF4-FFF2-40B4-BE49-F238E27FC236}">
                <a16:creationId xmlns:a16="http://schemas.microsoft.com/office/drawing/2014/main" id="{653D2C04-C099-443A-B0FE-B220534FF6E4}"/>
              </a:ext>
            </a:extLst>
          </xdr:cNvPr>
          <xdr:cNvCxnSpPr>
            <a:cxnSpLocks/>
          </xdr:cNvCxnSpPr>
        </xdr:nvCxnSpPr>
        <xdr:spPr>
          <a:xfrm flipV="1">
            <a:off x="5394960" y="294640"/>
            <a:ext cx="0" cy="2032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Conexão reta 66">
            <a:extLst>
              <a:ext uri="{FF2B5EF4-FFF2-40B4-BE49-F238E27FC236}">
                <a16:creationId xmlns:a16="http://schemas.microsoft.com/office/drawing/2014/main" id="{1376AD04-78DE-4272-86F4-85CE7E4D5F15}"/>
              </a:ext>
            </a:extLst>
          </xdr:cNvPr>
          <xdr:cNvCxnSpPr>
            <a:cxnSpLocks/>
          </xdr:cNvCxnSpPr>
        </xdr:nvCxnSpPr>
        <xdr:spPr>
          <a:xfrm>
            <a:off x="4864418" y="421640"/>
            <a:ext cx="37941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32657</xdr:colOff>
      <xdr:row>5</xdr:row>
      <xdr:rowOff>54428</xdr:rowOff>
    </xdr:from>
    <xdr:to>
      <xdr:col>17</xdr:col>
      <xdr:colOff>587608</xdr:colOff>
      <xdr:row>41</xdr:row>
      <xdr:rowOff>85754</xdr:rowOff>
    </xdr:to>
    <xdr:grpSp>
      <xdr:nvGrpSpPr>
        <xdr:cNvPr id="70" name="Agrupar 69">
          <a:extLst>
            <a:ext uri="{FF2B5EF4-FFF2-40B4-BE49-F238E27FC236}">
              <a16:creationId xmlns:a16="http://schemas.microsoft.com/office/drawing/2014/main" id="{2D2F35B9-C162-4D9E-8A09-139644FE8521}"/>
            </a:ext>
          </a:extLst>
        </xdr:cNvPr>
        <xdr:cNvGrpSpPr/>
      </xdr:nvGrpSpPr>
      <xdr:grpSpPr>
        <a:xfrm>
          <a:off x="6738257" y="979714"/>
          <a:ext cx="4212551" cy="6693383"/>
          <a:chOff x="4007722" y="32255"/>
          <a:chExt cx="4212551" cy="6693383"/>
        </a:xfrm>
      </xdr:grpSpPr>
      <xdr:pic>
        <xdr:nvPicPr>
          <xdr:cNvPr id="71" name="Imagem 70">
            <a:extLst>
              <a:ext uri="{FF2B5EF4-FFF2-40B4-BE49-F238E27FC236}">
                <a16:creationId xmlns:a16="http://schemas.microsoft.com/office/drawing/2014/main" id="{44C16BF8-A931-4AF2-86EB-B9500D3C18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007722" y="32255"/>
            <a:ext cx="4212551" cy="6693383"/>
          </a:xfrm>
          <a:prstGeom prst="rect">
            <a:avLst/>
          </a:prstGeom>
        </xdr:spPr>
      </xdr:pic>
      <xdr:sp macro="" textlink="">
        <xdr:nvSpPr>
          <xdr:cNvPr id="72" name="Retângulo 71">
            <a:extLst>
              <a:ext uri="{FF2B5EF4-FFF2-40B4-BE49-F238E27FC236}">
                <a16:creationId xmlns:a16="http://schemas.microsoft.com/office/drawing/2014/main" id="{9EAEAC95-E5E3-43C8-AA56-0F87C0292B89}"/>
              </a:ext>
            </a:extLst>
          </xdr:cNvPr>
          <xdr:cNvSpPr/>
        </xdr:nvSpPr>
        <xdr:spPr>
          <a:xfrm>
            <a:off x="4982752" y="481124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73" name="Retângulo 72">
            <a:extLst>
              <a:ext uri="{FF2B5EF4-FFF2-40B4-BE49-F238E27FC236}">
                <a16:creationId xmlns:a16="http://schemas.microsoft.com/office/drawing/2014/main" id="{340B9A30-66A6-4A80-AE9F-45EE0F18420D}"/>
              </a:ext>
            </a:extLst>
          </xdr:cNvPr>
          <xdr:cNvSpPr/>
        </xdr:nvSpPr>
        <xdr:spPr>
          <a:xfrm>
            <a:off x="5244776" y="481124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74" name="Retângulo 73">
            <a:extLst>
              <a:ext uri="{FF2B5EF4-FFF2-40B4-BE49-F238E27FC236}">
                <a16:creationId xmlns:a16="http://schemas.microsoft.com/office/drawing/2014/main" id="{6256D3A7-29CB-4DA2-AC75-8B440FA95722}"/>
              </a:ext>
            </a:extLst>
          </xdr:cNvPr>
          <xdr:cNvSpPr/>
        </xdr:nvSpPr>
        <xdr:spPr>
          <a:xfrm>
            <a:off x="5510193" y="481124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75" name="Retângulo 74">
            <a:extLst>
              <a:ext uri="{FF2B5EF4-FFF2-40B4-BE49-F238E27FC236}">
                <a16:creationId xmlns:a16="http://schemas.microsoft.com/office/drawing/2014/main" id="{0D28A7D1-2248-41D2-94DC-8C4ABBE6C4D1}"/>
              </a:ext>
            </a:extLst>
          </xdr:cNvPr>
          <xdr:cNvSpPr/>
        </xdr:nvSpPr>
        <xdr:spPr>
          <a:xfrm>
            <a:off x="5766217" y="481124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76" name="Retângulo 75">
            <a:extLst>
              <a:ext uri="{FF2B5EF4-FFF2-40B4-BE49-F238E27FC236}">
                <a16:creationId xmlns:a16="http://schemas.microsoft.com/office/drawing/2014/main" id="{DAF43716-0D6D-4CE8-80EE-52CC5190D7F9}"/>
              </a:ext>
            </a:extLst>
          </xdr:cNvPr>
          <xdr:cNvSpPr/>
        </xdr:nvSpPr>
        <xdr:spPr>
          <a:xfrm>
            <a:off x="6038029" y="481124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77" name="Retângulo 76">
            <a:extLst>
              <a:ext uri="{FF2B5EF4-FFF2-40B4-BE49-F238E27FC236}">
                <a16:creationId xmlns:a16="http://schemas.microsoft.com/office/drawing/2014/main" id="{C8B49B1D-60F4-4457-82DF-E62830380B11}"/>
              </a:ext>
            </a:extLst>
          </xdr:cNvPr>
          <xdr:cNvSpPr/>
        </xdr:nvSpPr>
        <xdr:spPr>
          <a:xfrm>
            <a:off x="4987046" y="874126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78" name="Retângulo 77">
            <a:extLst>
              <a:ext uri="{FF2B5EF4-FFF2-40B4-BE49-F238E27FC236}">
                <a16:creationId xmlns:a16="http://schemas.microsoft.com/office/drawing/2014/main" id="{1FB53C59-92CD-45C1-95E0-201638664FF8}"/>
              </a:ext>
            </a:extLst>
          </xdr:cNvPr>
          <xdr:cNvSpPr/>
        </xdr:nvSpPr>
        <xdr:spPr>
          <a:xfrm>
            <a:off x="5256870" y="876474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79" name="Retângulo 78">
            <a:extLst>
              <a:ext uri="{FF2B5EF4-FFF2-40B4-BE49-F238E27FC236}">
                <a16:creationId xmlns:a16="http://schemas.microsoft.com/office/drawing/2014/main" id="{2E48DCB4-49F5-409D-B8EC-7A409860238C}"/>
              </a:ext>
            </a:extLst>
          </xdr:cNvPr>
          <xdr:cNvSpPr/>
        </xdr:nvSpPr>
        <xdr:spPr>
          <a:xfrm>
            <a:off x="5504387" y="882950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80" name="Retângulo 79">
            <a:extLst>
              <a:ext uri="{FF2B5EF4-FFF2-40B4-BE49-F238E27FC236}">
                <a16:creationId xmlns:a16="http://schemas.microsoft.com/office/drawing/2014/main" id="{94FFE543-B8E7-453C-A0F7-8E4A583589FD}"/>
              </a:ext>
            </a:extLst>
          </xdr:cNvPr>
          <xdr:cNvSpPr/>
        </xdr:nvSpPr>
        <xdr:spPr>
          <a:xfrm>
            <a:off x="5760418" y="886381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81" name="Retângulo 80">
            <a:extLst>
              <a:ext uri="{FF2B5EF4-FFF2-40B4-BE49-F238E27FC236}">
                <a16:creationId xmlns:a16="http://schemas.microsoft.com/office/drawing/2014/main" id="{DCFEA4C1-9011-4F68-A315-AFB748B0544F}"/>
              </a:ext>
            </a:extLst>
          </xdr:cNvPr>
          <xdr:cNvSpPr/>
        </xdr:nvSpPr>
        <xdr:spPr>
          <a:xfrm>
            <a:off x="6432076" y="481124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82" name="Retângulo 81">
            <a:extLst>
              <a:ext uri="{FF2B5EF4-FFF2-40B4-BE49-F238E27FC236}">
                <a16:creationId xmlns:a16="http://schemas.microsoft.com/office/drawing/2014/main" id="{01E07F2E-68F3-4D20-8AB1-AA8AD54F2B6A}"/>
              </a:ext>
            </a:extLst>
          </xdr:cNvPr>
          <xdr:cNvSpPr/>
        </xdr:nvSpPr>
        <xdr:spPr>
          <a:xfrm>
            <a:off x="6688108" y="481124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83" name="Retângulo 82">
            <a:extLst>
              <a:ext uri="{FF2B5EF4-FFF2-40B4-BE49-F238E27FC236}">
                <a16:creationId xmlns:a16="http://schemas.microsoft.com/office/drawing/2014/main" id="{D0CF5BCB-8AED-4882-880C-6C9179BE9B87}"/>
              </a:ext>
            </a:extLst>
          </xdr:cNvPr>
          <xdr:cNvSpPr/>
        </xdr:nvSpPr>
        <xdr:spPr>
          <a:xfrm>
            <a:off x="6944140" y="481124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84" name="Retângulo 83">
            <a:extLst>
              <a:ext uri="{FF2B5EF4-FFF2-40B4-BE49-F238E27FC236}">
                <a16:creationId xmlns:a16="http://schemas.microsoft.com/office/drawing/2014/main" id="{F29DCA14-210B-4E93-968A-CA95C1708D3C}"/>
              </a:ext>
            </a:extLst>
          </xdr:cNvPr>
          <xdr:cNvSpPr/>
        </xdr:nvSpPr>
        <xdr:spPr>
          <a:xfrm>
            <a:off x="7200172" y="481124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85" name="Retângulo 84">
            <a:extLst>
              <a:ext uri="{FF2B5EF4-FFF2-40B4-BE49-F238E27FC236}">
                <a16:creationId xmlns:a16="http://schemas.microsoft.com/office/drawing/2014/main" id="{3AEE4A3B-5FFE-4FDA-A547-BC51C2F8F380}"/>
              </a:ext>
            </a:extLst>
          </xdr:cNvPr>
          <xdr:cNvSpPr/>
        </xdr:nvSpPr>
        <xdr:spPr>
          <a:xfrm>
            <a:off x="7456204" y="481124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86" name="Retângulo 85">
            <a:extLst>
              <a:ext uri="{FF2B5EF4-FFF2-40B4-BE49-F238E27FC236}">
                <a16:creationId xmlns:a16="http://schemas.microsoft.com/office/drawing/2014/main" id="{1922A0E5-5774-4F0A-BE31-47C5CBAA43B1}"/>
              </a:ext>
            </a:extLst>
          </xdr:cNvPr>
          <xdr:cNvSpPr/>
        </xdr:nvSpPr>
        <xdr:spPr>
          <a:xfrm>
            <a:off x="7712236" y="481124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87" name="Retângulo 86">
            <a:extLst>
              <a:ext uri="{FF2B5EF4-FFF2-40B4-BE49-F238E27FC236}">
                <a16:creationId xmlns:a16="http://schemas.microsoft.com/office/drawing/2014/main" id="{C7E7B1B8-9442-42A2-A64E-2A7F30C45045}"/>
              </a:ext>
            </a:extLst>
          </xdr:cNvPr>
          <xdr:cNvSpPr/>
        </xdr:nvSpPr>
        <xdr:spPr>
          <a:xfrm>
            <a:off x="6427029" y="882950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88" name="Retângulo 87">
            <a:extLst>
              <a:ext uri="{FF2B5EF4-FFF2-40B4-BE49-F238E27FC236}">
                <a16:creationId xmlns:a16="http://schemas.microsoft.com/office/drawing/2014/main" id="{4929F813-72DC-4DDC-9938-4F1473C9A7D8}"/>
              </a:ext>
            </a:extLst>
          </xdr:cNvPr>
          <xdr:cNvSpPr/>
        </xdr:nvSpPr>
        <xdr:spPr>
          <a:xfrm>
            <a:off x="6683045" y="889842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89" name="Retângulo 88">
            <a:extLst>
              <a:ext uri="{FF2B5EF4-FFF2-40B4-BE49-F238E27FC236}">
                <a16:creationId xmlns:a16="http://schemas.microsoft.com/office/drawing/2014/main" id="{D1385EEF-6A76-4A36-9DFF-434CDED568C5}"/>
              </a:ext>
            </a:extLst>
          </xdr:cNvPr>
          <xdr:cNvSpPr/>
        </xdr:nvSpPr>
        <xdr:spPr>
          <a:xfrm>
            <a:off x="6944140" y="887270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90" name="Retângulo 89">
            <a:extLst>
              <a:ext uri="{FF2B5EF4-FFF2-40B4-BE49-F238E27FC236}">
                <a16:creationId xmlns:a16="http://schemas.microsoft.com/office/drawing/2014/main" id="{E75BC8A9-593B-4514-8AC8-285F793018F4}"/>
              </a:ext>
            </a:extLst>
          </xdr:cNvPr>
          <xdr:cNvSpPr/>
        </xdr:nvSpPr>
        <xdr:spPr>
          <a:xfrm>
            <a:off x="7203673" y="887969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91" name="Retângulo 90">
            <a:extLst>
              <a:ext uri="{FF2B5EF4-FFF2-40B4-BE49-F238E27FC236}">
                <a16:creationId xmlns:a16="http://schemas.microsoft.com/office/drawing/2014/main" id="{1776473C-4466-46C1-8791-A399C0DC0AAA}"/>
              </a:ext>
            </a:extLst>
          </xdr:cNvPr>
          <xdr:cNvSpPr/>
        </xdr:nvSpPr>
        <xdr:spPr>
          <a:xfrm>
            <a:off x="7456204" y="889842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92" name="Retângulo 91">
            <a:extLst>
              <a:ext uri="{FF2B5EF4-FFF2-40B4-BE49-F238E27FC236}">
                <a16:creationId xmlns:a16="http://schemas.microsoft.com/office/drawing/2014/main" id="{DE736E4C-3C57-457A-A277-673C17475FFE}"/>
              </a:ext>
            </a:extLst>
          </xdr:cNvPr>
          <xdr:cNvSpPr/>
        </xdr:nvSpPr>
        <xdr:spPr>
          <a:xfrm>
            <a:off x="7712235" y="882950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93" name="Retângulo 92">
            <a:extLst>
              <a:ext uri="{FF2B5EF4-FFF2-40B4-BE49-F238E27FC236}">
                <a16:creationId xmlns:a16="http://schemas.microsoft.com/office/drawing/2014/main" id="{3E775F68-C39A-4669-86E8-5630E5086E6B}"/>
              </a:ext>
            </a:extLst>
          </xdr:cNvPr>
          <xdr:cNvSpPr/>
        </xdr:nvSpPr>
        <xdr:spPr>
          <a:xfrm>
            <a:off x="5039341" y="367504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94" name="Retângulo 93">
            <a:extLst>
              <a:ext uri="{FF2B5EF4-FFF2-40B4-BE49-F238E27FC236}">
                <a16:creationId xmlns:a16="http://schemas.microsoft.com/office/drawing/2014/main" id="{5CDE9D02-2BD8-48AD-879C-9C17C52AFF2C}"/>
              </a:ext>
            </a:extLst>
          </xdr:cNvPr>
          <xdr:cNvSpPr/>
        </xdr:nvSpPr>
        <xdr:spPr>
          <a:xfrm>
            <a:off x="4743484" y="227296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95" name="Retângulo 94">
            <a:extLst>
              <a:ext uri="{FF2B5EF4-FFF2-40B4-BE49-F238E27FC236}">
                <a16:creationId xmlns:a16="http://schemas.microsoft.com/office/drawing/2014/main" id="{811005B0-8C72-4715-B850-3AE591B23B4E}"/>
              </a:ext>
            </a:extLst>
          </xdr:cNvPr>
          <xdr:cNvSpPr/>
        </xdr:nvSpPr>
        <xdr:spPr>
          <a:xfrm>
            <a:off x="5024987" y="227296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96" name="Retângulo 95">
            <a:extLst>
              <a:ext uri="{FF2B5EF4-FFF2-40B4-BE49-F238E27FC236}">
                <a16:creationId xmlns:a16="http://schemas.microsoft.com/office/drawing/2014/main" id="{7A7BF15C-DE6F-44D9-B294-12CADF962DF9}"/>
              </a:ext>
            </a:extLst>
          </xdr:cNvPr>
          <xdr:cNvSpPr/>
        </xdr:nvSpPr>
        <xdr:spPr>
          <a:xfrm>
            <a:off x="4743484" y="2564686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97" name="Retângulo 96">
            <a:extLst>
              <a:ext uri="{FF2B5EF4-FFF2-40B4-BE49-F238E27FC236}">
                <a16:creationId xmlns:a16="http://schemas.microsoft.com/office/drawing/2014/main" id="{2E260914-B0AE-4F57-8D4C-129C427E9EF8}"/>
              </a:ext>
            </a:extLst>
          </xdr:cNvPr>
          <xdr:cNvSpPr/>
        </xdr:nvSpPr>
        <xdr:spPr>
          <a:xfrm>
            <a:off x="5025696" y="2564686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98" name="Retângulo 97">
            <a:extLst>
              <a:ext uri="{FF2B5EF4-FFF2-40B4-BE49-F238E27FC236}">
                <a16:creationId xmlns:a16="http://schemas.microsoft.com/office/drawing/2014/main" id="{42A0FBF9-ACBB-4174-82C4-2E7595C2F00B}"/>
              </a:ext>
            </a:extLst>
          </xdr:cNvPr>
          <xdr:cNvSpPr/>
        </xdr:nvSpPr>
        <xdr:spPr>
          <a:xfrm>
            <a:off x="5319986" y="227296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99" name="Retângulo 98">
            <a:extLst>
              <a:ext uri="{FF2B5EF4-FFF2-40B4-BE49-F238E27FC236}">
                <a16:creationId xmlns:a16="http://schemas.microsoft.com/office/drawing/2014/main" id="{A545D329-CC70-4E74-B1A4-BAEFD087FF37}"/>
              </a:ext>
            </a:extLst>
          </xdr:cNvPr>
          <xdr:cNvSpPr/>
        </xdr:nvSpPr>
        <xdr:spPr>
          <a:xfrm>
            <a:off x="5590883" y="227296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00" name="Retângulo 99">
            <a:extLst>
              <a:ext uri="{FF2B5EF4-FFF2-40B4-BE49-F238E27FC236}">
                <a16:creationId xmlns:a16="http://schemas.microsoft.com/office/drawing/2014/main" id="{55AA46D3-B590-4EE5-A4E7-77B0216D5489}"/>
              </a:ext>
            </a:extLst>
          </xdr:cNvPr>
          <xdr:cNvSpPr/>
        </xdr:nvSpPr>
        <xdr:spPr>
          <a:xfrm>
            <a:off x="5319986" y="2564686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01" name="Retângulo 100">
            <a:extLst>
              <a:ext uri="{FF2B5EF4-FFF2-40B4-BE49-F238E27FC236}">
                <a16:creationId xmlns:a16="http://schemas.microsoft.com/office/drawing/2014/main" id="{86FF65A2-6099-4F3C-B9CA-7DDEEAFD7321}"/>
              </a:ext>
            </a:extLst>
          </xdr:cNvPr>
          <xdr:cNvSpPr/>
        </xdr:nvSpPr>
        <xdr:spPr>
          <a:xfrm>
            <a:off x="5598192" y="2564686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02" name="Retângulo 101">
            <a:extLst>
              <a:ext uri="{FF2B5EF4-FFF2-40B4-BE49-F238E27FC236}">
                <a16:creationId xmlns:a16="http://schemas.microsoft.com/office/drawing/2014/main" id="{4202A9BD-402F-4FFE-9E7F-F1749C877AED}"/>
              </a:ext>
            </a:extLst>
          </xdr:cNvPr>
          <xdr:cNvSpPr/>
        </xdr:nvSpPr>
        <xdr:spPr>
          <a:xfrm>
            <a:off x="5907875" y="227296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03" name="Retângulo 102">
            <a:extLst>
              <a:ext uri="{FF2B5EF4-FFF2-40B4-BE49-F238E27FC236}">
                <a16:creationId xmlns:a16="http://schemas.microsoft.com/office/drawing/2014/main" id="{6008A8D0-1D32-4838-BBFA-E18F4F34F057}"/>
              </a:ext>
            </a:extLst>
          </xdr:cNvPr>
          <xdr:cNvSpPr/>
        </xdr:nvSpPr>
        <xdr:spPr>
          <a:xfrm>
            <a:off x="6170302" y="227296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04" name="Retângulo 103">
            <a:extLst>
              <a:ext uri="{FF2B5EF4-FFF2-40B4-BE49-F238E27FC236}">
                <a16:creationId xmlns:a16="http://schemas.microsoft.com/office/drawing/2014/main" id="{6DFCCF2A-E8A8-4B4D-A904-4DA09227C1AD}"/>
              </a:ext>
            </a:extLst>
          </xdr:cNvPr>
          <xdr:cNvSpPr/>
        </xdr:nvSpPr>
        <xdr:spPr>
          <a:xfrm>
            <a:off x="5907875" y="2564686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05" name="Retângulo 104">
            <a:extLst>
              <a:ext uri="{FF2B5EF4-FFF2-40B4-BE49-F238E27FC236}">
                <a16:creationId xmlns:a16="http://schemas.microsoft.com/office/drawing/2014/main" id="{C7789732-2885-47AF-80B2-1AE0A7E484F8}"/>
              </a:ext>
            </a:extLst>
          </xdr:cNvPr>
          <xdr:cNvSpPr/>
        </xdr:nvSpPr>
        <xdr:spPr>
          <a:xfrm>
            <a:off x="6170302" y="2564686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06" name="Retângulo 105">
            <a:extLst>
              <a:ext uri="{FF2B5EF4-FFF2-40B4-BE49-F238E27FC236}">
                <a16:creationId xmlns:a16="http://schemas.microsoft.com/office/drawing/2014/main" id="{1B669EF0-A764-415E-AE0E-20B9D73B26FA}"/>
              </a:ext>
            </a:extLst>
          </xdr:cNvPr>
          <xdr:cNvSpPr/>
        </xdr:nvSpPr>
        <xdr:spPr>
          <a:xfrm>
            <a:off x="6470017" y="227296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07" name="Retângulo 106">
            <a:extLst>
              <a:ext uri="{FF2B5EF4-FFF2-40B4-BE49-F238E27FC236}">
                <a16:creationId xmlns:a16="http://schemas.microsoft.com/office/drawing/2014/main" id="{9075A3C5-313E-4D9F-8938-92B3CB906BBE}"/>
              </a:ext>
            </a:extLst>
          </xdr:cNvPr>
          <xdr:cNvSpPr/>
        </xdr:nvSpPr>
        <xdr:spPr>
          <a:xfrm>
            <a:off x="6764757" y="227296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08" name="Retângulo 107">
            <a:extLst>
              <a:ext uri="{FF2B5EF4-FFF2-40B4-BE49-F238E27FC236}">
                <a16:creationId xmlns:a16="http://schemas.microsoft.com/office/drawing/2014/main" id="{28CAAC48-11A6-483F-882D-F1AA8CC4318A}"/>
              </a:ext>
            </a:extLst>
          </xdr:cNvPr>
          <xdr:cNvSpPr/>
        </xdr:nvSpPr>
        <xdr:spPr>
          <a:xfrm>
            <a:off x="6475014" y="2564686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09" name="Retângulo 108">
            <a:extLst>
              <a:ext uri="{FF2B5EF4-FFF2-40B4-BE49-F238E27FC236}">
                <a16:creationId xmlns:a16="http://schemas.microsoft.com/office/drawing/2014/main" id="{C4EF5A06-311E-410D-BD0D-95273DDB6C4A}"/>
              </a:ext>
            </a:extLst>
          </xdr:cNvPr>
          <xdr:cNvSpPr/>
        </xdr:nvSpPr>
        <xdr:spPr>
          <a:xfrm>
            <a:off x="6764757" y="2564686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0" name="Retângulo 109">
            <a:extLst>
              <a:ext uri="{FF2B5EF4-FFF2-40B4-BE49-F238E27FC236}">
                <a16:creationId xmlns:a16="http://schemas.microsoft.com/office/drawing/2014/main" id="{C0ED71BF-58AF-40F9-83DC-EB1FCB8D71E0}"/>
              </a:ext>
            </a:extLst>
          </xdr:cNvPr>
          <xdr:cNvSpPr/>
        </xdr:nvSpPr>
        <xdr:spPr>
          <a:xfrm>
            <a:off x="7059497" y="227296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1" name="Retângulo 110">
            <a:extLst>
              <a:ext uri="{FF2B5EF4-FFF2-40B4-BE49-F238E27FC236}">
                <a16:creationId xmlns:a16="http://schemas.microsoft.com/office/drawing/2014/main" id="{868B127C-5E1B-4706-ACAC-BBC0197468B2}"/>
              </a:ext>
            </a:extLst>
          </xdr:cNvPr>
          <xdr:cNvSpPr/>
        </xdr:nvSpPr>
        <xdr:spPr>
          <a:xfrm>
            <a:off x="7313491" y="227296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2" name="Retângulo 111">
            <a:extLst>
              <a:ext uri="{FF2B5EF4-FFF2-40B4-BE49-F238E27FC236}">
                <a16:creationId xmlns:a16="http://schemas.microsoft.com/office/drawing/2014/main" id="{1290031A-9839-4124-8142-A73FF2227A6E}"/>
              </a:ext>
            </a:extLst>
          </xdr:cNvPr>
          <xdr:cNvSpPr/>
        </xdr:nvSpPr>
        <xdr:spPr>
          <a:xfrm>
            <a:off x="7059497" y="2564686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3" name="Retângulo 112">
            <a:extLst>
              <a:ext uri="{FF2B5EF4-FFF2-40B4-BE49-F238E27FC236}">
                <a16:creationId xmlns:a16="http://schemas.microsoft.com/office/drawing/2014/main" id="{8D009DF1-1114-4B19-8834-DBB87D314A10}"/>
              </a:ext>
            </a:extLst>
          </xdr:cNvPr>
          <xdr:cNvSpPr/>
        </xdr:nvSpPr>
        <xdr:spPr>
          <a:xfrm>
            <a:off x="7329722" y="2565511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4" name="Retângulo 113">
            <a:extLst>
              <a:ext uri="{FF2B5EF4-FFF2-40B4-BE49-F238E27FC236}">
                <a16:creationId xmlns:a16="http://schemas.microsoft.com/office/drawing/2014/main" id="{CD4BA917-1B09-4C59-AB00-0B6EBE3E4316}"/>
              </a:ext>
            </a:extLst>
          </xdr:cNvPr>
          <xdr:cNvSpPr/>
        </xdr:nvSpPr>
        <xdr:spPr>
          <a:xfrm>
            <a:off x="6038029" y="886381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5" name="Retângulo 114">
            <a:extLst>
              <a:ext uri="{FF2B5EF4-FFF2-40B4-BE49-F238E27FC236}">
                <a16:creationId xmlns:a16="http://schemas.microsoft.com/office/drawing/2014/main" id="{E59D769E-E2D4-4085-8092-AAC3AB29A3A5}"/>
              </a:ext>
            </a:extLst>
          </xdr:cNvPr>
          <xdr:cNvSpPr/>
        </xdr:nvSpPr>
        <xdr:spPr>
          <a:xfrm>
            <a:off x="4743484" y="3389932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6" name="Retângulo 115">
            <a:extLst>
              <a:ext uri="{FF2B5EF4-FFF2-40B4-BE49-F238E27FC236}">
                <a16:creationId xmlns:a16="http://schemas.microsoft.com/office/drawing/2014/main" id="{222D6EB4-BA60-4897-A925-A985EF8DE213}"/>
              </a:ext>
            </a:extLst>
          </xdr:cNvPr>
          <xdr:cNvSpPr/>
        </xdr:nvSpPr>
        <xdr:spPr>
          <a:xfrm>
            <a:off x="5058634" y="3389932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7" name="Retângulo 116">
            <a:extLst>
              <a:ext uri="{FF2B5EF4-FFF2-40B4-BE49-F238E27FC236}">
                <a16:creationId xmlns:a16="http://schemas.microsoft.com/office/drawing/2014/main" id="{555E4E15-1A3F-43E3-BBF6-7FEC16039F1B}"/>
              </a:ext>
            </a:extLst>
          </xdr:cNvPr>
          <xdr:cNvSpPr/>
        </xdr:nvSpPr>
        <xdr:spPr>
          <a:xfrm>
            <a:off x="4743484" y="3682794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8" name="Retângulo 117">
            <a:extLst>
              <a:ext uri="{FF2B5EF4-FFF2-40B4-BE49-F238E27FC236}">
                <a16:creationId xmlns:a16="http://schemas.microsoft.com/office/drawing/2014/main" id="{123ACC62-05DD-427C-A560-ECF89CB4025B}"/>
              </a:ext>
            </a:extLst>
          </xdr:cNvPr>
          <xdr:cNvSpPr/>
        </xdr:nvSpPr>
        <xdr:spPr>
          <a:xfrm>
            <a:off x="5299877" y="3193463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9" name="Retângulo 118">
            <a:extLst>
              <a:ext uri="{FF2B5EF4-FFF2-40B4-BE49-F238E27FC236}">
                <a16:creationId xmlns:a16="http://schemas.microsoft.com/office/drawing/2014/main" id="{ABF7F0F4-9A4E-43D7-A637-588A2E423DF3}"/>
              </a:ext>
            </a:extLst>
          </xdr:cNvPr>
          <xdr:cNvSpPr/>
        </xdr:nvSpPr>
        <xdr:spPr>
          <a:xfrm>
            <a:off x="5874900" y="3193463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0" name="Retângulo 119">
            <a:extLst>
              <a:ext uri="{FF2B5EF4-FFF2-40B4-BE49-F238E27FC236}">
                <a16:creationId xmlns:a16="http://schemas.microsoft.com/office/drawing/2014/main" id="{B3EC764B-D0F6-4F9C-9663-1DA84A09B067}"/>
              </a:ext>
            </a:extLst>
          </xdr:cNvPr>
          <xdr:cNvSpPr/>
        </xdr:nvSpPr>
        <xdr:spPr>
          <a:xfrm>
            <a:off x="5598192" y="3193463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1" name="Retângulo 120">
            <a:extLst>
              <a:ext uri="{FF2B5EF4-FFF2-40B4-BE49-F238E27FC236}">
                <a16:creationId xmlns:a16="http://schemas.microsoft.com/office/drawing/2014/main" id="{AD001E9C-B23A-4856-B535-ED81B83D58F4}"/>
              </a:ext>
            </a:extLst>
          </xdr:cNvPr>
          <xdr:cNvSpPr/>
        </xdr:nvSpPr>
        <xdr:spPr>
          <a:xfrm>
            <a:off x="5303326" y="360011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2" name="Retângulo 121">
            <a:extLst>
              <a:ext uri="{FF2B5EF4-FFF2-40B4-BE49-F238E27FC236}">
                <a16:creationId xmlns:a16="http://schemas.microsoft.com/office/drawing/2014/main" id="{7531A77E-D1AB-4ACA-BA93-2BD2F3512EA3}"/>
              </a:ext>
            </a:extLst>
          </xdr:cNvPr>
          <xdr:cNvSpPr/>
        </xdr:nvSpPr>
        <xdr:spPr>
          <a:xfrm>
            <a:off x="5598192" y="3607864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3" name="Retângulo 122">
            <a:extLst>
              <a:ext uri="{FF2B5EF4-FFF2-40B4-BE49-F238E27FC236}">
                <a16:creationId xmlns:a16="http://schemas.microsoft.com/office/drawing/2014/main" id="{13104AD0-1BBE-46EF-A825-CBAB03C1F064}"/>
              </a:ext>
            </a:extLst>
          </xdr:cNvPr>
          <xdr:cNvSpPr/>
        </xdr:nvSpPr>
        <xdr:spPr>
          <a:xfrm>
            <a:off x="6170302" y="3193463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4" name="Retângulo 123">
            <a:extLst>
              <a:ext uri="{FF2B5EF4-FFF2-40B4-BE49-F238E27FC236}">
                <a16:creationId xmlns:a16="http://schemas.microsoft.com/office/drawing/2014/main" id="{D76CB3C4-FA81-47F6-9041-882C89270B48}"/>
              </a:ext>
            </a:extLst>
          </xdr:cNvPr>
          <xdr:cNvSpPr/>
        </xdr:nvSpPr>
        <xdr:spPr>
          <a:xfrm>
            <a:off x="5874900" y="360011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5" name="Retângulo 124">
            <a:extLst>
              <a:ext uri="{FF2B5EF4-FFF2-40B4-BE49-F238E27FC236}">
                <a16:creationId xmlns:a16="http://schemas.microsoft.com/office/drawing/2014/main" id="{D0A31006-CA31-4F5C-8860-6F557BEE8050}"/>
              </a:ext>
            </a:extLst>
          </xdr:cNvPr>
          <xdr:cNvSpPr/>
        </xdr:nvSpPr>
        <xdr:spPr>
          <a:xfrm>
            <a:off x="6169766" y="360011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6" name="Retângulo 125">
            <a:extLst>
              <a:ext uri="{FF2B5EF4-FFF2-40B4-BE49-F238E27FC236}">
                <a16:creationId xmlns:a16="http://schemas.microsoft.com/office/drawing/2014/main" id="{1D04849E-3ACB-4191-8CC3-E52034B3380D}"/>
              </a:ext>
            </a:extLst>
          </xdr:cNvPr>
          <xdr:cNvSpPr/>
        </xdr:nvSpPr>
        <xdr:spPr>
          <a:xfrm>
            <a:off x="6465704" y="3167301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7" name="Retângulo 126">
            <a:extLst>
              <a:ext uri="{FF2B5EF4-FFF2-40B4-BE49-F238E27FC236}">
                <a16:creationId xmlns:a16="http://schemas.microsoft.com/office/drawing/2014/main" id="{0F4D143B-B6D3-4008-956B-832B72031BEA}"/>
              </a:ext>
            </a:extLst>
          </xdr:cNvPr>
          <xdr:cNvSpPr/>
        </xdr:nvSpPr>
        <xdr:spPr>
          <a:xfrm>
            <a:off x="6760025" y="3167301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8" name="Retângulo 127">
            <a:extLst>
              <a:ext uri="{FF2B5EF4-FFF2-40B4-BE49-F238E27FC236}">
                <a16:creationId xmlns:a16="http://schemas.microsoft.com/office/drawing/2014/main" id="{C7495DF0-7234-46A3-92AE-EEFE205E1541}"/>
              </a:ext>
            </a:extLst>
          </xdr:cNvPr>
          <xdr:cNvSpPr/>
        </xdr:nvSpPr>
        <xdr:spPr>
          <a:xfrm>
            <a:off x="6475014" y="360011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9" name="Retângulo 128">
            <a:extLst>
              <a:ext uri="{FF2B5EF4-FFF2-40B4-BE49-F238E27FC236}">
                <a16:creationId xmlns:a16="http://schemas.microsoft.com/office/drawing/2014/main" id="{258B8E11-BCF7-4506-9D46-8620CDB24278}"/>
              </a:ext>
            </a:extLst>
          </xdr:cNvPr>
          <xdr:cNvSpPr/>
        </xdr:nvSpPr>
        <xdr:spPr>
          <a:xfrm>
            <a:off x="6760025" y="360011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0" name="Retângulo 129">
            <a:extLst>
              <a:ext uri="{FF2B5EF4-FFF2-40B4-BE49-F238E27FC236}">
                <a16:creationId xmlns:a16="http://schemas.microsoft.com/office/drawing/2014/main" id="{250D24C0-8B80-4FF0-A480-920B9E727F61}"/>
              </a:ext>
            </a:extLst>
          </xdr:cNvPr>
          <xdr:cNvSpPr/>
        </xdr:nvSpPr>
        <xdr:spPr>
          <a:xfrm>
            <a:off x="7057484" y="3389932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1" name="Retângulo 130">
            <a:extLst>
              <a:ext uri="{FF2B5EF4-FFF2-40B4-BE49-F238E27FC236}">
                <a16:creationId xmlns:a16="http://schemas.microsoft.com/office/drawing/2014/main" id="{97BAA7DA-2761-444A-81FC-30F0591704C0}"/>
              </a:ext>
            </a:extLst>
          </xdr:cNvPr>
          <xdr:cNvSpPr/>
        </xdr:nvSpPr>
        <xdr:spPr>
          <a:xfrm>
            <a:off x="7329722" y="337894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2" name="Retângulo 131">
            <a:extLst>
              <a:ext uri="{FF2B5EF4-FFF2-40B4-BE49-F238E27FC236}">
                <a16:creationId xmlns:a16="http://schemas.microsoft.com/office/drawing/2014/main" id="{927DC5A7-5C01-4683-B4DC-D7A4FD7094C0}"/>
              </a:ext>
            </a:extLst>
          </xdr:cNvPr>
          <xdr:cNvSpPr/>
        </xdr:nvSpPr>
        <xdr:spPr>
          <a:xfrm>
            <a:off x="7330744" y="367504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3" name="Retângulo 132">
            <a:extLst>
              <a:ext uri="{FF2B5EF4-FFF2-40B4-BE49-F238E27FC236}">
                <a16:creationId xmlns:a16="http://schemas.microsoft.com/office/drawing/2014/main" id="{665E8A78-639F-4D2D-8A87-C3007BC85881}"/>
              </a:ext>
            </a:extLst>
          </xdr:cNvPr>
          <xdr:cNvSpPr/>
        </xdr:nvSpPr>
        <xdr:spPr>
          <a:xfrm>
            <a:off x="7055728" y="3682794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4" name="Retângulo 133">
            <a:extLst>
              <a:ext uri="{FF2B5EF4-FFF2-40B4-BE49-F238E27FC236}">
                <a16:creationId xmlns:a16="http://schemas.microsoft.com/office/drawing/2014/main" id="{A48FC3B5-55CA-4563-88BB-5A68E1AD646B}"/>
              </a:ext>
            </a:extLst>
          </xdr:cNvPr>
          <xdr:cNvSpPr/>
        </xdr:nvSpPr>
        <xdr:spPr>
          <a:xfrm>
            <a:off x="7200172" y="4893358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5" name="Retângulo 134">
            <a:extLst>
              <a:ext uri="{FF2B5EF4-FFF2-40B4-BE49-F238E27FC236}">
                <a16:creationId xmlns:a16="http://schemas.microsoft.com/office/drawing/2014/main" id="{89D08755-73CA-42B8-80EC-01FA4C0817A7}"/>
              </a:ext>
            </a:extLst>
          </xdr:cNvPr>
          <xdr:cNvSpPr/>
        </xdr:nvSpPr>
        <xdr:spPr>
          <a:xfrm>
            <a:off x="7200172" y="5118655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6" name="Retângulo 135">
            <a:extLst>
              <a:ext uri="{FF2B5EF4-FFF2-40B4-BE49-F238E27FC236}">
                <a16:creationId xmlns:a16="http://schemas.microsoft.com/office/drawing/2014/main" id="{FBD0611A-18F2-4E28-B8CB-E266073CD864}"/>
              </a:ext>
            </a:extLst>
          </xdr:cNvPr>
          <xdr:cNvSpPr/>
        </xdr:nvSpPr>
        <xdr:spPr>
          <a:xfrm>
            <a:off x="7196089" y="5371386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7" name="Retângulo 136">
            <a:extLst>
              <a:ext uri="{FF2B5EF4-FFF2-40B4-BE49-F238E27FC236}">
                <a16:creationId xmlns:a16="http://schemas.microsoft.com/office/drawing/2014/main" id="{1D51FF91-0A38-4043-BE48-2DE779ADF519}"/>
              </a:ext>
            </a:extLst>
          </xdr:cNvPr>
          <xdr:cNvSpPr/>
        </xdr:nvSpPr>
        <xdr:spPr>
          <a:xfrm>
            <a:off x="7196643" y="5624117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8" name="Retângulo 137">
            <a:extLst>
              <a:ext uri="{FF2B5EF4-FFF2-40B4-BE49-F238E27FC236}">
                <a16:creationId xmlns:a16="http://schemas.microsoft.com/office/drawing/2014/main" id="{5FAE2754-C97C-4C52-835F-9F437D2FE148}"/>
              </a:ext>
            </a:extLst>
          </xdr:cNvPr>
          <xdr:cNvSpPr/>
        </xdr:nvSpPr>
        <xdr:spPr>
          <a:xfrm>
            <a:off x="7612928" y="4893358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9" name="Retângulo 138">
            <a:extLst>
              <a:ext uri="{FF2B5EF4-FFF2-40B4-BE49-F238E27FC236}">
                <a16:creationId xmlns:a16="http://schemas.microsoft.com/office/drawing/2014/main" id="{56DEDB86-8876-48DA-9010-6E46FF02CAC1}"/>
              </a:ext>
            </a:extLst>
          </xdr:cNvPr>
          <xdr:cNvSpPr/>
        </xdr:nvSpPr>
        <xdr:spPr>
          <a:xfrm>
            <a:off x="7609401" y="5115354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40" name="Retângulo 139">
            <a:extLst>
              <a:ext uri="{FF2B5EF4-FFF2-40B4-BE49-F238E27FC236}">
                <a16:creationId xmlns:a16="http://schemas.microsoft.com/office/drawing/2014/main" id="{C0188DBD-D563-473A-B429-C144F9D6E312}"/>
              </a:ext>
            </a:extLst>
          </xdr:cNvPr>
          <xdr:cNvSpPr/>
        </xdr:nvSpPr>
        <xdr:spPr>
          <a:xfrm>
            <a:off x="7604202" y="5371386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41" name="Retângulo 140">
            <a:extLst>
              <a:ext uri="{FF2B5EF4-FFF2-40B4-BE49-F238E27FC236}">
                <a16:creationId xmlns:a16="http://schemas.microsoft.com/office/drawing/2014/main" id="{6CA53DCF-33D8-4FBA-BEBB-6CC91AA7F042}"/>
              </a:ext>
            </a:extLst>
          </xdr:cNvPr>
          <xdr:cNvSpPr/>
        </xdr:nvSpPr>
        <xdr:spPr>
          <a:xfrm>
            <a:off x="7609401" y="5614464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42" name="Retângulo 141">
            <a:extLst>
              <a:ext uri="{FF2B5EF4-FFF2-40B4-BE49-F238E27FC236}">
                <a16:creationId xmlns:a16="http://schemas.microsoft.com/office/drawing/2014/main" id="{E48D5B14-6B0A-41C7-934B-860249197ADA}"/>
              </a:ext>
            </a:extLst>
          </xdr:cNvPr>
          <xdr:cNvSpPr/>
        </xdr:nvSpPr>
        <xdr:spPr>
          <a:xfrm>
            <a:off x="7594072" y="4674791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43" name="Retângulo 142">
            <a:extLst>
              <a:ext uri="{FF2B5EF4-FFF2-40B4-BE49-F238E27FC236}">
                <a16:creationId xmlns:a16="http://schemas.microsoft.com/office/drawing/2014/main" id="{D2D8D384-0440-4A68-A037-85B531C4AACA}"/>
              </a:ext>
            </a:extLst>
          </xdr:cNvPr>
          <xdr:cNvSpPr/>
        </xdr:nvSpPr>
        <xdr:spPr>
          <a:xfrm>
            <a:off x="7200172" y="4674791"/>
            <a:ext cx="75969" cy="76533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cxnSp macro="">
        <xdr:nvCxnSpPr>
          <xdr:cNvPr id="144" name="Conexão reta 143">
            <a:extLst>
              <a:ext uri="{FF2B5EF4-FFF2-40B4-BE49-F238E27FC236}">
                <a16:creationId xmlns:a16="http://schemas.microsoft.com/office/drawing/2014/main" id="{80636BF8-8BC8-4A9F-94B0-DB56A34696DF}"/>
              </a:ext>
            </a:extLst>
          </xdr:cNvPr>
          <xdr:cNvCxnSpPr>
            <a:cxnSpLocks/>
          </xdr:cNvCxnSpPr>
        </xdr:nvCxnSpPr>
        <xdr:spPr>
          <a:xfrm>
            <a:off x="7604203" y="4714621"/>
            <a:ext cx="407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5" name="Conexão reta 144">
            <a:extLst>
              <a:ext uri="{FF2B5EF4-FFF2-40B4-BE49-F238E27FC236}">
                <a16:creationId xmlns:a16="http://schemas.microsoft.com/office/drawing/2014/main" id="{C9234B5F-BDF1-4E6C-9B3C-9BD6475B7BC5}"/>
              </a:ext>
            </a:extLst>
          </xdr:cNvPr>
          <xdr:cNvCxnSpPr>
            <a:cxnSpLocks/>
          </xdr:cNvCxnSpPr>
        </xdr:nvCxnSpPr>
        <xdr:spPr>
          <a:xfrm>
            <a:off x="7494146" y="4515526"/>
            <a:ext cx="673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6" name="Conexão reta 145">
            <a:extLst>
              <a:ext uri="{FF2B5EF4-FFF2-40B4-BE49-F238E27FC236}">
                <a16:creationId xmlns:a16="http://schemas.microsoft.com/office/drawing/2014/main" id="{82503636-8FE4-4574-83B5-5B66119E79B5}"/>
              </a:ext>
            </a:extLst>
          </xdr:cNvPr>
          <xdr:cNvCxnSpPr>
            <a:cxnSpLocks/>
          </xdr:cNvCxnSpPr>
        </xdr:nvCxnSpPr>
        <xdr:spPr>
          <a:xfrm>
            <a:off x="7629609" y="4933315"/>
            <a:ext cx="407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7" name="Conexão reta 146">
            <a:extLst>
              <a:ext uri="{FF2B5EF4-FFF2-40B4-BE49-F238E27FC236}">
                <a16:creationId xmlns:a16="http://schemas.microsoft.com/office/drawing/2014/main" id="{317EAAB6-F6AE-48F7-BC13-9550F5B56CFD}"/>
              </a:ext>
            </a:extLst>
          </xdr:cNvPr>
          <xdr:cNvCxnSpPr>
            <a:cxnSpLocks/>
          </xdr:cNvCxnSpPr>
        </xdr:nvCxnSpPr>
        <xdr:spPr>
          <a:xfrm>
            <a:off x="7634767" y="5155946"/>
            <a:ext cx="407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8" name="Conexão reta 147">
            <a:extLst>
              <a:ext uri="{FF2B5EF4-FFF2-40B4-BE49-F238E27FC236}">
                <a16:creationId xmlns:a16="http://schemas.microsoft.com/office/drawing/2014/main" id="{59CB4952-39C0-446C-B1BF-42FDF9ED1349}"/>
              </a:ext>
            </a:extLst>
          </xdr:cNvPr>
          <xdr:cNvCxnSpPr>
            <a:cxnSpLocks/>
          </xdr:cNvCxnSpPr>
        </xdr:nvCxnSpPr>
        <xdr:spPr>
          <a:xfrm>
            <a:off x="7612929" y="5405882"/>
            <a:ext cx="407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9" name="Conexão reta 148">
            <a:extLst>
              <a:ext uri="{FF2B5EF4-FFF2-40B4-BE49-F238E27FC236}">
                <a16:creationId xmlns:a16="http://schemas.microsoft.com/office/drawing/2014/main" id="{87BC71D7-21CC-4183-BE8C-80AC5006C1F9}"/>
              </a:ext>
            </a:extLst>
          </xdr:cNvPr>
          <xdr:cNvCxnSpPr>
            <a:cxnSpLocks/>
          </xdr:cNvCxnSpPr>
        </xdr:nvCxnSpPr>
        <xdr:spPr>
          <a:xfrm>
            <a:off x="7594073" y="5658613"/>
            <a:ext cx="407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0" name="Conexão reta 149">
            <a:extLst>
              <a:ext uri="{FF2B5EF4-FFF2-40B4-BE49-F238E27FC236}">
                <a16:creationId xmlns:a16="http://schemas.microsoft.com/office/drawing/2014/main" id="{21E4EB25-5C80-4697-9A9B-F449E81B87AB}"/>
              </a:ext>
            </a:extLst>
          </xdr:cNvPr>
          <xdr:cNvCxnSpPr>
            <a:cxnSpLocks/>
          </xdr:cNvCxnSpPr>
        </xdr:nvCxnSpPr>
        <xdr:spPr>
          <a:xfrm>
            <a:off x="6225157" y="739330"/>
            <a:ext cx="1385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1" name="Conexão reta 150">
            <a:extLst>
              <a:ext uri="{FF2B5EF4-FFF2-40B4-BE49-F238E27FC236}">
                <a16:creationId xmlns:a16="http://schemas.microsoft.com/office/drawing/2014/main" id="{28D1EFB4-8F66-497B-B1BA-EF767ADECDFD}"/>
              </a:ext>
            </a:extLst>
          </xdr:cNvPr>
          <xdr:cNvCxnSpPr>
            <a:cxnSpLocks/>
          </xdr:cNvCxnSpPr>
        </xdr:nvCxnSpPr>
        <xdr:spPr>
          <a:xfrm>
            <a:off x="7764378" y="734663"/>
            <a:ext cx="1533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2" name="Conexão reta 151">
            <a:extLst>
              <a:ext uri="{FF2B5EF4-FFF2-40B4-BE49-F238E27FC236}">
                <a16:creationId xmlns:a16="http://schemas.microsoft.com/office/drawing/2014/main" id="{6F6FBE83-1E3E-4CA8-8087-B64B2D894775}"/>
              </a:ext>
            </a:extLst>
          </xdr:cNvPr>
          <xdr:cNvCxnSpPr>
            <a:cxnSpLocks/>
          </xdr:cNvCxnSpPr>
        </xdr:nvCxnSpPr>
        <xdr:spPr>
          <a:xfrm flipV="1">
            <a:off x="6427030" y="1517330"/>
            <a:ext cx="180" cy="1978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3" name="Conexão reta 152">
            <a:extLst>
              <a:ext uri="{FF2B5EF4-FFF2-40B4-BE49-F238E27FC236}">
                <a16:creationId xmlns:a16="http://schemas.microsoft.com/office/drawing/2014/main" id="{05B88146-13CF-4A5A-912E-FC468EFB0E0F}"/>
              </a:ext>
            </a:extLst>
          </xdr:cNvPr>
          <xdr:cNvCxnSpPr>
            <a:cxnSpLocks/>
          </xdr:cNvCxnSpPr>
        </xdr:nvCxnSpPr>
        <xdr:spPr>
          <a:xfrm>
            <a:off x="4819367" y="297955"/>
            <a:ext cx="722" cy="0"/>
          </a:xfrm>
          <a:prstGeom prst="line">
            <a:avLst/>
          </a:prstGeom>
          <a:ln w="9525">
            <a:solidFill>
              <a:srgbClr val="FFFF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Conexão reta 153">
            <a:extLst>
              <a:ext uri="{FF2B5EF4-FFF2-40B4-BE49-F238E27FC236}">
                <a16:creationId xmlns:a16="http://schemas.microsoft.com/office/drawing/2014/main" id="{0AD65001-6FB8-4F69-AECD-D10CDBEA6F68}"/>
              </a:ext>
            </a:extLst>
          </xdr:cNvPr>
          <xdr:cNvCxnSpPr>
            <a:cxnSpLocks/>
          </xdr:cNvCxnSpPr>
        </xdr:nvCxnSpPr>
        <xdr:spPr>
          <a:xfrm flipH="1">
            <a:off x="4221596" y="296000"/>
            <a:ext cx="2906" cy="5737"/>
          </a:xfrm>
          <a:prstGeom prst="line">
            <a:avLst/>
          </a:prstGeom>
          <a:ln w="9525">
            <a:solidFill>
              <a:srgbClr val="FFFF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326572</xdr:colOff>
      <xdr:row>2</xdr:row>
      <xdr:rowOff>83127</xdr:rowOff>
    </xdr:from>
    <xdr:to>
      <xdr:col>12</xdr:col>
      <xdr:colOff>248402</xdr:colOff>
      <xdr:row>38</xdr:row>
      <xdr:rowOff>137726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94387D98-20BF-42AE-8065-75D61D61038E}"/>
            </a:ext>
          </a:extLst>
        </xdr:cNvPr>
        <xdr:cNvGrpSpPr/>
      </xdr:nvGrpSpPr>
      <xdr:grpSpPr>
        <a:xfrm>
          <a:off x="936172" y="453241"/>
          <a:ext cx="6627430" cy="6716656"/>
          <a:chOff x="2182645" y="80523"/>
          <a:chExt cx="6627430" cy="6538526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741F5E0B-6A1B-45B4-9835-4737A197F0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33961" y="1425729"/>
            <a:ext cx="3631993" cy="4767267"/>
          </a:xfrm>
          <a:prstGeom prst="rect">
            <a:avLst/>
          </a:prstGeom>
        </xdr:spPr>
      </xdr:pic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2B491B83-B809-4CF8-9106-FBAFD53EA1F4}"/>
              </a:ext>
            </a:extLst>
          </xdr:cNvPr>
          <xdr:cNvGrpSpPr/>
        </xdr:nvGrpSpPr>
        <xdr:grpSpPr>
          <a:xfrm>
            <a:off x="2201110" y="3424617"/>
            <a:ext cx="6581251" cy="0"/>
            <a:chOff x="4831895" y="6369641"/>
            <a:chExt cx="6581251" cy="0"/>
          </a:xfrm>
        </xdr:grpSpPr>
        <xdr:cxnSp macro="">
          <xdr:nvCxnSpPr>
            <xdr:cNvPr id="18" name="Conexão reta 17">
              <a:extLst>
                <a:ext uri="{FF2B5EF4-FFF2-40B4-BE49-F238E27FC236}">
                  <a16:creationId xmlns:a16="http://schemas.microsoft.com/office/drawing/2014/main" id="{FF6DF8F4-AA39-4671-A986-48918E12F87C}"/>
                </a:ext>
              </a:extLst>
            </xdr:cNvPr>
            <xdr:cNvCxnSpPr>
              <a:cxnSpLocks/>
            </xdr:cNvCxnSpPr>
          </xdr:nvCxnSpPr>
          <xdr:spPr>
            <a:xfrm>
              <a:off x="5486527" y="6369641"/>
              <a:ext cx="671950" cy="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Conexão reta 18">
              <a:extLst>
                <a:ext uri="{FF2B5EF4-FFF2-40B4-BE49-F238E27FC236}">
                  <a16:creationId xmlns:a16="http://schemas.microsoft.com/office/drawing/2014/main" id="{6448701F-FAAC-4CA6-89A1-6DAFBFDB3A2F}"/>
                </a:ext>
              </a:extLst>
            </xdr:cNvPr>
            <xdr:cNvCxnSpPr>
              <a:cxnSpLocks/>
            </xdr:cNvCxnSpPr>
          </xdr:nvCxnSpPr>
          <xdr:spPr>
            <a:xfrm>
              <a:off x="6160646" y="6369641"/>
              <a:ext cx="671950" cy="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xão reta 19">
              <a:extLst>
                <a:ext uri="{FF2B5EF4-FFF2-40B4-BE49-F238E27FC236}">
                  <a16:creationId xmlns:a16="http://schemas.microsoft.com/office/drawing/2014/main" id="{6990C0F5-A247-4930-AA32-87E43C889F30}"/>
                </a:ext>
              </a:extLst>
            </xdr:cNvPr>
            <xdr:cNvCxnSpPr>
              <a:cxnSpLocks/>
            </xdr:cNvCxnSpPr>
          </xdr:nvCxnSpPr>
          <xdr:spPr>
            <a:xfrm>
              <a:off x="6821871" y="6369641"/>
              <a:ext cx="671950" cy="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xão reta 20">
              <a:extLst>
                <a:ext uri="{FF2B5EF4-FFF2-40B4-BE49-F238E27FC236}">
                  <a16:creationId xmlns:a16="http://schemas.microsoft.com/office/drawing/2014/main" id="{812D8147-7775-4A82-91D9-ECD1C7CAA4A8}"/>
                </a:ext>
              </a:extLst>
            </xdr:cNvPr>
            <xdr:cNvCxnSpPr>
              <a:cxnSpLocks/>
            </xdr:cNvCxnSpPr>
          </xdr:nvCxnSpPr>
          <xdr:spPr>
            <a:xfrm>
              <a:off x="7493821" y="6369641"/>
              <a:ext cx="671950" cy="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xão reta 21">
              <a:extLst>
                <a:ext uri="{FF2B5EF4-FFF2-40B4-BE49-F238E27FC236}">
                  <a16:creationId xmlns:a16="http://schemas.microsoft.com/office/drawing/2014/main" id="{42E174B7-C682-4CF7-9CF4-9CAF8788F7F8}"/>
                </a:ext>
              </a:extLst>
            </xdr:cNvPr>
            <xdr:cNvCxnSpPr>
              <a:cxnSpLocks/>
            </xdr:cNvCxnSpPr>
          </xdr:nvCxnSpPr>
          <xdr:spPr>
            <a:xfrm>
              <a:off x="8165771" y="6369641"/>
              <a:ext cx="671950" cy="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xão reta 22">
              <a:extLst>
                <a:ext uri="{FF2B5EF4-FFF2-40B4-BE49-F238E27FC236}">
                  <a16:creationId xmlns:a16="http://schemas.microsoft.com/office/drawing/2014/main" id="{9AB08D4A-A1B7-42B1-AB98-EFACA07902FF}"/>
                </a:ext>
              </a:extLst>
            </xdr:cNvPr>
            <xdr:cNvCxnSpPr>
              <a:cxnSpLocks/>
            </xdr:cNvCxnSpPr>
          </xdr:nvCxnSpPr>
          <xdr:spPr>
            <a:xfrm>
              <a:off x="8808596" y="6369641"/>
              <a:ext cx="671950" cy="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Conexão reta 23">
              <a:extLst>
                <a:ext uri="{FF2B5EF4-FFF2-40B4-BE49-F238E27FC236}">
                  <a16:creationId xmlns:a16="http://schemas.microsoft.com/office/drawing/2014/main" id="{1F1CD451-96AF-4121-B665-1CFC8D92A354}"/>
                </a:ext>
              </a:extLst>
            </xdr:cNvPr>
            <xdr:cNvCxnSpPr>
              <a:cxnSpLocks/>
            </xdr:cNvCxnSpPr>
          </xdr:nvCxnSpPr>
          <xdr:spPr>
            <a:xfrm>
              <a:off x="9480546" y="6369641"/>
              <a:ext cx="671950" cy="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Conexão reta 24">
              <a:extLst>
                <a:ext uri="{FF2B5EF4-FFF2-40B4-BE49-F238E27FC236}">
                  <a16:creationId xmlns:a16="http://schemas.microsoft.com/office/drawing/2014/main" id="{2AFD510C-AB8F-4C6E-852D-4BF5C6334535}"/>
                </a:ext>
              </a:extLst>
            </xdr:cNvPr>
            <xdr:cNvCxnSpPr>
              <a:cxnSpLocks/>
            </xdr:cNvCxnSpPr>
          </xdr:nvCxnSpPr>
          <xdr:spPr>
            <a:xfrm>
              <a:off x="4831895" y="6369641"/>
              <a:ext cx="671950" cy="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Conexão reta 25">
              <a:extLst>
                <a:ext uri="{FF2B5EF4-FFF2-40B4-BE49-F238E27FC236}">
                  <a16:creationId xmlns:a16="http://schemas.microsoft.com/office/drawing/2014/main" id="{DAB103E6-BCCD-410D-9B30-13A92954C75A}"/>
                </a:ext>
              </a:extLst>
            </xdr:cNvPr>
            <xdr:cNvCxnSpPr>
              <a:cxnSpLocks/>
            </xdr:cNvCxnSpPr>
          </xdr:nvCxnSpPr>
          <xdr:spPr>
            <a:xfrm>
              <a:off x="10115426" y="6369641"/>
              <a:ext cx="671950" cy="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Conexão reta 26">
              <a:extLst>
                <a:ext uri="{FF2B5EF4-FFF2-40B4-BE49-F238E27FC236}">
                  <a16:creationId xmlns:a16="http://schemas.microsoft.com/office/drawing/2014/main" id="{7B8C40E9-1683-49A6-ABC2-B78C1C2566D4}"/>
                </a:ext>
              </a:extLst>
            </xdr:cNvPr>
            <xdr:cNvCxnSpPr>
              <a:cxnSpLocks/>
            </xdr:cNvCxnSpPr>
          </xdr:nvCxnSpPr>
          <xdr:spPr>
            <a:xfrm>
              <a:off x="10741196" y="6369641"/>
              <a:ext cx="671950" cy="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5F3F7E1E-C8B2-4366-9A55-9543B97105F1}"/>
              </a:ext>
            </a:extLst>
          </xdr:cNvPr>
          <xdr:cNvSpPr/>
        </xdr:nvSpPr>
        <xdr:spPr>
          <a:xfrm>
            <a:off x="2182645" y="80523"/>
            <a:ext cx="6627430" cy="6536636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087820C6-7446-4FCC-AD59-4B19AE8FBA6D}"/>
              </a:ext>
            </a:extLst>
          </xdr:cNvPr>
          <xdr:cNvGrpSpPr/>
        </xdr:nvGrpSpPr>
        <xdr:grpSpPr>
          <a:xfrm rot="16200000">
            <a:off x="2240119" y="3350733"/>
            <a:ext cx="6536632" cy="0"/>
            <a:chOff x="4831895" y="6369641"/>
            <a:chExt cx="6627431" cy="0"/>
          </a:xfrm>
        </xdr:grpSpPr>
        <xdr:cxnSp macro="">
          <xdr:nvCxnSpPr>
            <xdr:cNvPr id="8" name="Conexão reta 7">
              <a:extLst>
                <a:ext uri="{FF2B5EF4-FFF2-40B4-BE49-F238E27FC236}">
                  <a16:creationId xmlns:a16="http://schemas.microsoft.com/office/drawing/2014/main" id="{9B19C2DB-6BFA-4E68-96A8-1E7E29C3BEDA}"/>
                </a:ext>
              </a:extLst>
            </xdr:cNvPr>
            <xdr:cNvCxnSpPr>
              <a:cxnSpLocks/>
            </xdr:cNvCxnSpPr>
          </xdr:nvCxnSpPr>
          <xdr:spPr>
            <a:xfrm rot="5400000" flipV="1">
              <a:off x="5822502" y="6033666"/>
              <a:ext cx="0" cy="67195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" name="Conexão reta 8">
              <a:extLst>
                <a:ext uri="{FF2B5EF4-FFF2-40B4-BE49-F238E27FC236}">
                  <a16:creationId xmlns:a16="http://schemas.microsoft.com/office/drawing/2014/main" id="{FF982687-BFAA-497C-ACCE-D9CEF5C0449F}"/>
                </a:ext>
              </a:extLst>
            </xdr:cNvPr>
            <xdr:cNvCxnSpPr>
              <a:cxnSpLocks/>
            </xdr:cNvCxnSpPr>
          </xdr:nvCxnSpPr>
          <xdr:spPr>
            <a:xfrm rot="5400000" flipV="1">
              <a:off x="6496621" y="6033666"/>
              <a:ext cx="0" cy="67195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" name="Conexão reta 9">
              <a:extLst>
                <a:ext uri="{FF2B5EF4-FFF2-40B4-BE49-F238E27FC236}">
                  <a16:creationId xmlns:a16="http://schemas.microsoft.com/office/drawing/2014/main" id="{E485052B-4CD3-4AE1-B67F-541C9A8AC146}"/>
                </a:ext>
              </a:extLst>
            </xdr:cNvPr>
            <xdr:cNvCxnSpPr>
              <a:cxnSpLocks/>
            </xdr:cNvCxnSpPr>
          </xdr:nvCxnSpPr>
          <xdr:spPr>
            <a:xfrm rot="5400000" flipV="1">
              <a:off x="7157846" y="6033666"/>
              <a:ext cx="0" cy="67195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Conexão reta 10">
              <a:extLst>
                <a:ext uri="{FF2B5EF4-FFF2-40B4-BE49-F238E27FC236}">
                  <a16:creationId xmlns:a16="http://schemas.microsoft.com/office/drawing/2014/main" id="{44C7EE57-CCEC-419B-AA90-BAA05F3E4BA5}"/>
                </a:ext>
              </a:extLst>
            </xdr:cNvPr>
            <xdr:cNvCxnSpPr>
              <a:cxnSpLocks/>
            </xdr:cNvCxnSpPr>
          </xdr:nvCxnSpPr>
          <xdr:spPr>
            <a:xfrm rot="5400000" flipV="1">
              <a:off x="7829796" y="6033666"/>
              <a:ext cx="0" cy="67195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Conexão reta 11">
              <a:extLst>
                <a:ext uri="{FF2B5EF4-FFF2-40B4-BE49-F238E27FC236}">
                  <a16:creationId xmlns:a16="http://schemas.microsoft.com/office/drawing/2014/main" id="{98588229-F96B-463C-A856-776D05ED66F0}"/>
                </a:ext>
              </a:extLst>
            </xdr:cNvPr>
            <xdr:cNvCxnSpPr>
              <a:cxnSpLocks/>
            </xdr:cNvCxnSpPr>
          </xdr:nvCxnSpPr>
          <xdr:spPr>
            <a:xfrm rot="5400000" flipV="1">
              <a:off x="8501746" y="6033666"/>
              <a:ext cx="0" cy="67195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Conexão reta 12">
              <a:extLst>
                <a:ext uri="{FF2B5EF4-FFF2-40B4-BE49-F238E27FC236}">
                  <a16:creationId xmlns:a16="http://schemas.microsoft.com/office/drawing/2014/main" id="{FB869EB3-1AD2-445C-B897-F31EC50AB0EF}"/>
                </a:ext>
              </a:extLst>
            </xdr:cNvPr>
            <xdr:cNvCxnSpPr>
              <a:cxnSpLocks/>
            </xdr:cNvCxnSpPr>
          </xdr:nvCxnSpPr>
          <xdr:spPr>
            <a:xfrm rot="5400000" flipV="1">
              <a:off x="9144571" y="6033666"/>
              <a:ext cx="0" cy="67195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Conexão reta 13">
              <a:extLst>
                <a:ext uri="{FF2B5EF4-FFF2-40B4-BE49-F238E27FC236}">
                  <a16:creationId xmlns:a16="http://schemas.microsoft.com/office/drawing/2014/main" id="{7B2844E1-CF12-4EFF-8B9C-85387FB5A51B}"/>
                </a:ext>
              </a:extLst>
            </xdr:cNvPr>
            <xdr:cNvCxnSpPr>
              <a:cxnSpLocks/>
            </xdr:cNvCxnSpPr>
          </xdr:nvCxnSpPr>
          <xdr:spPr>
            <a:xfrm rot="5400000" flipV="1">
              <a:off x="9816521" y="6033666"/>
              <a:ext cx="0" cy="67195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Conexão reta 14">
              <a:extLst>
                <a:ext uri="{FF2B5EF4-FFF2-40B4-BE49-F238E27FC236}">
                  <a16:creationId xmlns:a16="http://schemas.microsoft.com/office/drawing/2014/main" id="{C854FE8E-C4B6-42FB-8D40-BC9EB5477520}"/>
                </a:ext>
              </a:extLst>
            </xdr:cNvPr>
            <xdr:cNvCxnSpPr>
              <a:cxnSpLocks/>
            </xdr:cNvCxnSpPr>
          </xdr:nvCxnSpPr>
          <xdr:spPr>
            <a:xfrm rot="5400000" flipV="1">
              <a:off x="5167870" y="6033666"/>
              <a:ext cx="0" cy="67195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Conexão reta 15">
              <a:extLst>
                <a:ext uri="{FF2B5EF4-FFF2-40B4-BE49-F238E27FC236}">
                  <a16:creationId xmlns:a16="http://schemas.microsoft.com/office/drawing/2014/main" id="{0326FD2C-5204-40D8-86F1-C59DC98C78EF}"/>
                </a:ext>
              </a:extLst>
            </xdr:cNvPr>
            <xdr:cNvCxnSpPr>
              <a:cxnSpLocks/>
            </xdr:cNvCxnSpPr>
          </xdr:nvCxnSpPr>
          <xdr:spPr>
            <a:xfrm rot="5400000" flipV="1">
              <a:off x="10451401" y="6033666"/>
              <a:ext cx="0" cy="67195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Conexão reta 16">
              <a:extLst>
                <a:ext uri="{FF2B5EF4-FFF2-40B4-BE49-F238E27FC236}">
                  <a16:creationId xmlns:a16="http://schemas.microsoft.com/office/drawing/2014/main" id="{D16D9911-E1CA-4B73-8872-C400BADCE53A}"/>
                </a:ext>
              </a:extLst>
            </xdr:cNvPr>
            <xdr:cNvCxnSpPr>
              <a:cxnSpLocks/>
            </xdr:cNvCxnSpPr>
          </xdr:nvCxnSpPr>
          <xdr:spPr>
            <a:xfrm rot="5400000" flipV="1">
              <a:off x="11123351" y="6033666"/>
              <a:ext cx="0" cy="67195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5276</xdr:colOff>
      <xdr:row>1</xdr:row>
      <xdr:rowOff>177604</xdr:rowOff>
    </xdr:from>
    <xdr:to>
      <xdr:col>8</xdr:col>
      <xdr:colOff>221494</xdr:colOff>
      <xdr:row>37</xdr:row>
      <xdr:rowOff>110197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614876" y="360484"/>
          <a:ext cx="4483418" cy="6516273"/>
          <a:chOff x="4081462" y="171450"/>
          <a:chExt cx="4483418" cy="6515100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81462" y="171450"/>
            <a:ext cx="4029075" cy="6515100"/>
          </a:xfrm>
          <a:prstGeom prst="rect">
            <a:avLst/>
          </a:prstGeom>
        </xdr:spPr>
      </xdr:pic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4389917" y="6076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4637093" y="6076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4389917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/>
        </xdr:nvSpPr>
        <xdr:spPr>
          <a:xfrm>
            <a:off x="4631140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5928364" y="6076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6174901" y="61277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6421438" y="61277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5928364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6174901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/>
        </xdr:nvSpPr>
        <xdr:spPr>
          <a:xfrm>
            <a:off x="6421438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/>
        </xdr:nvSpPr>
        <xdr:spPr>
          <a:xfrm>
            <a:off x="6812598" y="6076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/>
        </xdr:nvSpPr>
        <xdr:spPr>
          <a:xfrm>
            <a:off x="7059135" y="6076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7" name="Retângulo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/>
        </xdr:nvSpPr>
        <xdr:spPr>
          <a:xfrm>
            <a:off x="7300358" y="6076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SpPr/>
        </xdr:nvSpPr>
        <xdr:spPr>
          <a:xfrm>
            <a:off x="7579678" y="6076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SpPr/>
        </xdr:nvSpPr>
        <xdr:spPr>
          <a:xfrm>
            <a:off x="7783116" y="6076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6812598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/>
        </xdr:nvSpPr>
        <xdr:spPr>
          <a:xfrm>
            <a:off x="7059135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/>
        </xdr:nvSpPr>
        <xdr:spPr>
          <a:xfrm>
            <a:off x="7300358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/>
        </xdr:nvSpPr>
        <xdr:spPr>
          <a:xfrm>
            <a:off x="7579678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/>
        </xdr:nvSpPr>
        <xdr:spPr>
          <a:xfrm>
            <a:off x="7783116" y="116649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5" name="Retângulo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/>
        </xdr:nvSpPr>
        <xdr:spPr>
          <a:xfrm>
            <a:off x="4826318" y="22739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5115878" y="22739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4826318" y="265938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8" name="Retângulo 27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SpPr/>
        </xdr:nvSpPr>
        <xdr:spPr>
          <a:xfrm>
            <a:off x="5115878" y="265938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9" name="Retângulo 28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/>
        </xdr:nvSpPr>
        <xdr:spPr>
          <a:xfrm>
            <a:off x="5428298" y="22739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SpPr/>
        </xdr:nvSpPr>
        <xdr:spPr>
          <a:xfrm>
            <a:off x="5740718" y="227711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1" name="Retângulo 30">
            <a:extLst>
              <a:ext uri="{FF2B5EF4-FFF2-40B4-BE49-F238E27FC236}">
                <a16:creationId xmlns:a16="http://schemas.microsoft.com/office/drawing/2014/main" id="{00000000-0008-0000-0300-00001F000000}"/>
              </a:ext>
            </a:extLst>
          </xdr:cNvPr>
          <xdr:cNvSpPr/>
        </xdr:nvSpPr>
        <xdr:spPr>
          <a:xfrm>
            <a:off x="6053138" y="22739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2" name="Retângulo 31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SpPr/>
        </xdr:nvSpPr>
        <xdr:spPr>
          <a:xfrm>
            <a:off x="6345556" y="22739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3" name="Retângulo 32">
            <a:extLst>
              <a:ext uri="{FF2B5EF4-FFF2-40B4-BE49-F238E27FC236}">
                <a16:creationId xmlns:a16="http://schemas.microsoft.com/office/drawing/2014/main" id="{00000000-0008-0000-0300-000021000000}"/>
              </a:ext>
            </a:extLst>
          </xdr:cNvPr>
          <xdr:cNvSpPr/>
        </xdr:nvSpPr>
        <xdr:spPr>
          <a:xfrm>
            <a:off x="6053138" y="265938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4" name="Retângulo 33">
            <a:extLst>
              <a:ext uri="{FF2B5EF4-FFF2-40B4-BE49-F238E27FC236}">
                <a16:creationId xmlns:a16="http://schemas.microsoft.com/office/drawing/2014/main" id="{00000000-0008-0000-0300-000022000000}"/>
              </a:ext>
            </a:extLst>
          </xdr:cNvPr>
          <xdr:cNvSpPr/>
        </xdr:nvSpPr>
        <xdr:spPr>
          <a:xfrm>
            <a:off x="5428298" y="265938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5" name="Retângulo 34">
            <a:extLst>
              <a:ext uri="{FF2B5EF4-FFF2-40B4-BE49-F238E27FC236}">
                <a16:creationId xmlns:a16="http://schemas.microsoft.com/office/drawing/2014/main" id="{00000000-0008-0000-0300-000023000000}"/>
              </a:ext>
            </a:extLst>
          </xdr:cNvPr>
          <xdr:cNvSpPr/>
        </xdr:nvSpPr>
        <xdr:spPr>
          <a:xfrm>
            <a:off x="5741313" y="266065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6" name="Retângulo 35">
            <a:extLst>
              <a:ext uri="{FF2B5EF4-FFF2-40B4-BE49-F238E27FC236}">
                <a16:creationId xmlns:a16="http://schemas.microsoft.com/office/drawing/2014/main" id="{00000000-0008-0000-0300-000024000000}"/>
              </a:ext>
            </a:extLst>
          </xdr:cNvPr>
          <xdr:cNvSpPr/>
        </xdr:nvSpPr>
        <xdr:spPr>
          <a:xfrm>
            <a:off x="6345556" y="266065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7" name="Retângulo 36">
            <a:extLst>
              <a:ext uri="{FF2B5EF4-FFF2-40B4-BE49-F238E27FC236}">
                <a16:creationId xmlns:a16="http://schemas.microsoft.com/office/drawing/2014/main" id="{00000000-0008-0000-0300-000025000000}"/>
              </a:ext>
            </a:extLst>
          </xdr:cNvPr>
          <xdr:cNvSpPr/>
        </xdr:nvSpPr>
        <xdr:spPr>
          <a:xfrm>
            <a:off x="6708735" y="22739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8" name="Retângulo 37">
            <a:extLst>
              <a:ext uri="{FF2B5EF4-FFF2-40B4-BE49-F238E27FC236}">
                <a16:creationId xmlns:a16="http://schemas.microsoft.com/office/drawing/2014/main" id="{00000000-0008-0000-0300-000026000000}"/>
              </a:ext>
            </a:extLst>
          </xdr:cNvPr>
          <xdr:cNvSpPr/>
        </xdr:nvSpPr>
        <xdr:spPr>
          <a:xfrm>
            <a:off x="6979304" y="22739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39" name="Retângulo 38">
            <a:extLst>
              <a:ext uri="{FF2B5EF4-FFF2-40B4-BE49-F238E27FC236}">
                <a16:creationId xmlns:a16="http://schemas.microsoft.com/office/drawing/2014/main" id="{00000000-0008-0000-0300-000027000000}"/>
              </a:ext>
            </a:extLst>
          </xdr:cNvPr>
          <xdr:cNvSpPr/>
        </xdr:nvSpPr>
        <xdr:spPr>
          <a:xfrm>
            <a:off x="7249874" y="22739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0" name="Retângulo 39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SpPr/>
        </xdr:nvSpPr>
        <xdr:spPr>
          <a:xfrm>
            <a:off x="6708735" y="265938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1" name="Retângulo 40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SpPr/>
        </xdr:nvSpPr>
        <xdr:spPr>
          <a:xfrm>
            <a:off x="6979304" y="265938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2" name="Retângulo 41">
            <a:extLst>
              <a:ext uri="{FF2B5EF4-FFF2-40B4-BE49-F238E27FC236}">
                <a16:creationId xmlns:a16="http://schemas.microsoft.com/office/drawing/2014/main" id="{00000000-0008-0000-0300-00002A000000}"/>
              </a:ext>
            </a:extLst>
          </xdr:cNvPr>
          <xdr:cNvSpPr/>
        </xdr:nvSpPr>
        <xdr:spPr>
          <a:xfrm>
            <a:off x="7249874" y="265938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3" name="Retângulo 42">
            <a:extLst>
              <a:ext uri="{FF2B5EF4-FFF2-40B4-BE49-F238E27FC236}">
                <a16:creationId xmlns:a16="http://schemas.microsoft.com/office/drawing/2014/main" id="{00000000-0008-0000-0300-00002B000000}"/>
              </a:ext>
            </a:extLst>
          </xdr:cNvPr>
          <xdr:cNvSpPr/>
        </xdr:nvSpPr>
        <xdr:spPr>
          <a:xfrm>
            <a:off x="7017245" y="370141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4" name="Retângulo 43">
            <a:extLst>
              <a:ext uri="{FF2B5EF4-FFF2-40B4-BE49-F238E27FC236}">
                <a16:creationId xmlns:a16="http://schemas.microsoft.com/office/drawing/2014/main" id="{00000000-0008-0000-0300-00002C000000}"/>
              </a:ext>
            </a:extLst>
          </xdr:cNvPr>
          <xdr:cNvSpPr/>
        </xdr:nvSpPr>
        <xdr:spPr>
          <a:xfrm>
            <a:off x="7300358" y="370141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5" name="Retângulo 44">
            <a:extLst>
              <a:ext uri="{FF2B5EF4-FFF2-40B4-BE49-F238E27FC236}">
                <a16:creationId xmlns:a16="http://schemas.microsoft.com/office/drawing/2014/main" id="{00000000-0008-0000-0300-00002D000000}"/>
              </a:ext>
            </a:extLst>
          </xdr:cNvPr>
          <xdr:cNvSpPr/>
        </xdr:nvSpPr>
        <xdr:spPr>
          <a:xfrm>
            <a:off x="7617619" y="370141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6" name="Retângulo 45">
            <a:extLst>
              <a:ext uri="{FF2B5EF4-FFF2-40B4-BE49-F238E27FC236}">
                <a16:creationId xmlns:a16="http://schemas.microsoft.com/office/drawing/2014/main" id="{00000000-0008-0000-0300-00002E000000}"/>
              </a:ext>
            </a:extLst>
          </xdr:cNvPr>
          <xdr:cNvSpPr/>
        </xdr:nvSpPr>
        <xdr:spPr>
          <a:xfrm>
            <a:off x="7017245" y="401193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7" name="Retângulo 46">
            <a:extLst>
              <a:ext uri="{FF2B5EF4-FFF2-40B4-BE49-F238E27FC236}">
                <a16:creationId xmlns:a16="http://schemas.microsoft.com/office/drawing/2014/main" id="{00000000-0008-0000-0300-00002F000000}"/>
              </a:ext>
            </a:extLst>
          </xdr:cNvPr>
          <xdr:cNvSpPr/>
        </xdr:nvSpPr>
        <xdr:spPr>
          <a:xfrm>
            <a:off x="7300358" y="401193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8" name="Retângulo 47">
            <a:extLst>
              <a:ext uri="{FF2B5EF4-FFF2-40B4-BE49-F238E27FC236}">
                <a16:creationId xmlns:a16="http://schemas.microsoft.com/office/drawing/2014/main" id="{00000000-0008-0000-0300-000030000000}"/>
              </a:ext>
            </a:extLst>
          </xdr:cNvPr>
          <xdr:cNvSpPr/>
        </xdr:nvSpPr>
        <xdr:spPr>
          <a:xfrm>
            <a:off x="7617619" y="401193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49" name="Retângulo 48">
            <a:extLst>
              <a:ext uri="{FF2B5EF4-FFF2-40B4-BE49-F238E27FC236}">
                <a16:creationId xmlns:a16="http://schemas.microsoft.com/office/drawing/2014/main" id="{00000000-0008-0000-0300-000031000000}"/>
              </a:ext>
            </a:extLst>
          </xdr:cNvPr>
          <xdr:cNvSpPr/>
        </xdr:nvSpPr>
        <xdr:spPr>
          <a:xfrm>
            <a:off x="7164118" y="486664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0" name="Retângulo 49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SpPr/>
        </xdr:nvSpPr>
        <xdr:spPr>
          <a:xfrm>
            <a:off x="7164118" y="514113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1" name="Retângulo 50">
            <a:extLst>
              <a:ext uri="{FF2B5EF4-FFF2-40B4-BE49-F238E27FC236}">
                <a16:creationId xmlns:a16="http://schemas.microsoft.com/office/drawing/2014/main" id="{00000000-0008-0000-0300-000033000000}"/>
              </a:ext>
            </a:extLst>
          </xdr:cNvPr>
          <xdr:cNvSpPr/>
        </xdr:nvSpPr>
        <xdr:spPr>
          <a:xfrm>
            <a:off x="7168976" y="5598948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2" name="Retângulo 51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SpPr/>
        </xdr:nvSpPr>
        <xdr:spPr>
          <a:xfrm>
            <a:off x="7168976" y="5381391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3" name="Retângulo 52">
            <a:extLst>
              <a:ext uri="{FF2B5EF4-FFF2-40B4-BE49-F238E27FC236}">
                <a16:creationId xmlns:a16="http://schemas.microsoft.com/office/drawing/2014/main" id="{00000000-0008-0000-0300-000035000000}"/>
              </a:ext>
            </a:extLst>
          </xdr:cNvPr>
          <xdr:cNvSpPr/>
        </xdr:nvSpPr>
        <xdr:spPr>
          <a:xfrm>
            <a:off x="7160292" y="4609944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4" name="Retângulo 53">
            <a:extLst>
              <a:ext uri="{FF2B5EF4-FFF2-40B4-BE49-F238E27FC236}">
                <a16:creationId xmlns:a16="http://schemas.microsoft.com/office/drawing/2014/main" id="{00000000-0008-0000-0300-000036000000}"/>
              </a:ext>
            </a:extLst>
          </xdr:cNvPr>
          <xdr:cNvSpPr/>
        </xdr:nvSpPr>
        <xdr:spPr>
          <a:xfrm>
            <a:off x="7617619" y="4609944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5" name="Retângulo 54">
            <a:extLst>
              <a:ext uri="{FF2B5EF4-FFF2-40B4-BE49-F238E27FC236}">
                <a16:creationId xmlns:a16="http://schemas.microsoft.com/office/drawing/2014/main" id="{00000000-0008-0000-0300-000037000000}"/>
              </a:ext>
            </a:extLst>
          </xdr:cNvPr>
          <xdr:cNvSpPr/>
        </xdr:nvSpPr>
        <xdr:spPr>
          <a:xfrm>
            <a:off x="7617619" y="487199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6" name="Retângulo 55">
            <a:extLst>
              <a:ext uri="{FF2B5EF4-FFF2-40B4-BE49-F238E27FC236}">
                <a16:creationId xmlns:a16="http://schemas.microsoft.com/office/drawing/2014/main" id="{00000000-0008-0000-0300-000038000000}"/>
              </a:ext>
            </a:extLst>
          </xdr:cNvPr>
          <xdr:cNvSpPr/>
        </xdr:nvSpPr>
        <xdr:spPr>
          <a:xfrm>
            <a:off x="7613793" y="514130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7" name="Retângulo 56">
            <a:extLst>
              <a:ext uri="{FF2B5EF4-FFF2-40B4-BE49-F238E27FC236}">
                <a16:creationId xmlns:a16="http://schemas.microsoft.com/office/drawing/2014/main" id="{00000000-0008-0000-0300-000039000000}"/>
              </a:ext>
            </a:extLst>
          </xdr:cNvPr>
          <xdr:cNvSpPr/>
        </xdr:nvSpPr>
        <xdr:spPr>
          <a:xfrm>
            <a:off x="7609967" y="5379789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8" name="Retângulo 57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SpPr/>
        </xdr:nvSpPr>
        <xdr:spPr>
          <a:xfrm>
            <a:off x="7617619" y="5598948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cxnSp macro="">
        <xdr:nvCxnSpPr>
          <xdr:cNvPr id="59" name="Conexão reta 58">
            <a:extLst>
              <a:ext uri="{FF2B5EF4-FFF2-40B4-BE49-F238E27FC236}">
                <a16:creationId xmlns:a16="http://schemas.microsoft.com/office/drawing/2014/main" id="{00000000-0008-0000-0300-00003B000000}"/>
              </a:ext>
            </a:extLst>
          </xdr:cNvPr>
          <xdr:cNvCxnSpPr>
            <a:cxnSpLocks/>
          </xdr:cNvCxnSpPr>
        </xdr:nvCxnSpPr>
        <xdr:spPr>
          <a:xfrm>
            <a:off x="4465799" y="645160"/>
            <a:ext cx="172720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Conexão reta 59">
            <a:extLst>
              <a:ext uri="{FF2B5EF4-FFF2-40B4-BE49-F238E27FC236}">
                <a16:creationId xmlns:a16="http://schemas.microsoft.com/office/drawing/2014/main" id="{00000000-0008-0000-0300-00003C000000}"/>
              </a:ext>
            </a:extLst>
          </xdr:cNvPr>
          <xdr:cNvCxnSpPr>
            <a:cxnSpLocks/>
          </xdr:cNvCxnSpPr>
        </xdr:nvCxnSpPr>
        <xdr:spPr>
          <a:xfrm>
            <a:off x="4458420" y="1203960"/>
            <a:ext cx="172720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Conexão reta 60">
            <a:extLst>
              <a:ext uri="{FF2B5EF4-FFF2-40B4-BE49-F238E27FC236}">
                <a16:creationId xmlns:a16="http://schemas.microsoft.com/office/drawing/2014/main" id="{00000000-0008-0000-0300-00003D000000}"/>
              </a:ext>
            </a:extLst>
          </xdr:cNvPr>
          <xdr:cNvCxnSpPr>
            <a:cxnSpLocks/>
          </xdr:cNvCxnSpPr>
        </xdr:nvCxnSpPr>
        <xdr:spPr>
          <a:xfrm flipV="1">
            <a:off x="4552159" y="430918"/>
            <a:ext cx="0" cy="773042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Conexão reta 61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CxnSpPr>
            <a:cxnSpLocks/>
          </xdr:cNvCxnSpPr>
        </xdr:nvCxnSpPr>
        <xdr:spPr>
          <a:xfrm>
            <a:off x="4544215" y="426518"/>
            <a:ext cx="34879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Conexão reta 62">
            <a:extLst>
              <a:ext uri="{FF2B5EF4-FFF2-40B4-BE49-F238E27FC236}">
                <a16:creationId xmlns:a16="http://schemas.microsoft.com/office/drawing/2014/main" id="{00000000-0008-0000-0300-00003F000000}"/>
              </a:ext>
            </a:extLst>
          </xdr:cNvPr>
          <xdr:cNvCxnSpPr>
            <a:cxnSpLocks/>
          </xdr:cNvCxnSpPr>
        </xdr:nvCxnSpPr>
        <xdr:spPr>
          <a:xfrm>
            <a:off x="5966305" y="682625"/>
            <a:ext cx="0" cy="48387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Conexão reta 63">
            <a:extLst>
              <a:ext uri="{FF2B5EF4-FFF2-40B4-BE49-F238E27FC236}">
                <a16:creationId xmlns:a16="http://schemas.microsoft.com/office/drawing/2014/main" id="{00000000-0008-0000-0300-000040000000}"/>
              </a:ext>
            </a:extLst>
          </xdr:cNvPr>
          <xdr:cNvCxnSpPr>
            <a:cxnSpLocks/>
          </xdr:cNvCxnSpPr>
        </xdr:nvCxnSpPr>
        <xdr:spPr>
          <a:xfrm>
            <a:off x="6225387" y="682625"/>
            <a:ext cx="0" cy="48387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Conexão reta 64">
            <a:extLst>
              <a:ext uri="{FF2B5EF4-FFF2-40B4-BE49-F238E27FC236}">
                <a16:creationId xmlns:a16="http://schemas.microsoft.com/office/drawing/2014/main" id="{00000000-0008-0000-0300-000041000000}"/>
              </a:ext>
            </a:extLst>
          </xdr:cNvPr>
          <xdr:cNvCxnSpPr>
            <a:cxnSpLocks/>
          </xdr:cNvCxnSpPr>
        </xdr:nvCxnSpPr>
        <xdr:spPr>
          <a:xfrm>
            <a:off x="6459379" y="682625"/>
            <a:ext cx="0" cy="48387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Conexão reta 65">
            <a:extLst>
              <a:ext uri="{FF2B5EF4-FFF2-40B4-BE49-F238E27FC236}">
                <a16:creationId xmlns:a16="http://schemas.microsoft.com/office/drawing/2014/main" id="{00000000-0008-0000-0300-000042000000}"/>
              </a:ext>
            </a:extLst>
          </xdr:cNvPr>
          <xdr:cNvCxnSpPr>
            <a:cxnSpLocks/>
          </xdr:cNvCxnSpPr>
        </xdr:nvCxnSpPr>
        <xdr:spPr>
          <a:xfrm>
            <a:off x="6850539" y="682625"/>
            <a:ext cx="0" cy="48387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Conexão reta 66">
            <a:extLst>
              <a:ext uri="{FF2B5EF4-FFF2-40B4-BE49-F238E27FC236}">
                <a16:creationId xmlns:a16="http://schemas.microsoft.com/office/drawing/2014/main" id="{00000000-0008-0000-0300-000043000000}"/>
              </a:ext>
            </a:extLst>
          </xdr:cNvPr>
          <xdr:cNvCxnSpPr>
            <a:cxnSpLocks/>
          </xdr:cNvCxnSpPr>
        </xdr:nvCxnSpPr>
        <xdr:spPr>
          <a:xfrm>
            <a:off x="7100592" y="682625"/>
            <a:ext cx="0" cy="48387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Conexão reta 67">
            <a:extLst>
              <a:ext uri="{FF2B5EF4-FFF2-40B4-BE49-F238E27FC236}">
                <a16:creationId xmlns:a16="http://schemas.microsoft.com/office/drawing/2014/main" id="{00000000-0008-0000-0300-000044000000}"/>
              </a:ext>
            </a:extLst>
          </xdr:cNvPr>
          <xdr:cNvCxnSpPr>
            <a:cxnSpLocks/>
          </xdr:cNvCxnSpPr>
        </xdr:nvCxnSpPr>
        <xdr:spPr>
          <a:xfrm>
            <a:off x="7338299" y="682625"/>
            <a:ext cx="0" cy="48387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" name="Conexão reta 68">
            <a:extLst>
              <a:ext uri="{FF2B5EF4-FFF2-40B4-BE49-F238E27FC236}">
                <a16:creationId xmlns:a16="http://schemas.microsoft.com/office/drawing/2014/main" id="{00000000-0008-0000-0300-000045000000}"/>
              </a:ext>
            </a:extLst>
          </xdr:cNvPr>
          <xdr:cNvCxnSpPr>
            <a:cxnSpLocks/>
          </xdr:cNvCxnSpPr>
        </xdr:nvCxnSpPr>
        <xdr:spPr>
          <a:xfrm>
            <a:off x="7617619" y="682625"/>
            <a:ext cx="0" cy="48387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Conexão reta 69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CxnSpPr>
            <a:cxnSpLocks/>
          </xdr:cNvCxnSpPr>
        </xdr:nvCxnSpPr>
        <xdr:spPr>
          <a:xfrm>
            <a:off x="7821057" y="682625"/>
            <a:ext cx="0" cy="48387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Conexão reta 70">
            <a:extLst>
              <a:ext uri="{FF2B5EF4-FFF2-40B4-BE49-F238E27FC236}">
                <a16:creationId xmlns:a16="http://schemas.microsoft.com/office/drawing/2014/main" id="{00000000-0008-0000-0300-000047000000}"/>
              </a:ext>
            </a:extLst>
          </xdr:cNvPr>
          <xdr:cNvCxnSpPr>
            <a:cxnSpLocks/>
          </xdr:cNvCxnSpPr>
        </xdr:nvCxnSpPr>
        <xdr:spPr>
          <a:xfrm flipH="1">
            <a:off x="5003024" y="2304141"/>
            <a:ext cx="6015" cy="628017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" name="Conexão reta 71">
            <a:extLst>
              <a:ext uri="{FF2B5EF4-FFF2-40B4-BE49-F238E27FC236}">
                <a16:creationId xmlns:a16="http://schemas.microsoft.com/office/drawing/2014/main" id="{00000000-0008-0000-0300-000048000000}"/>
              </a:ext>
            </a:extLst>
          </xdr:cNvPr>
          <xdr:cNvCxnSpPr>
            <a:cxnSpLocks/>
          </xdr:cNvCxnSpPr>
        </xdr:nvCxnSpPr>
        <xdr:spPr>
          <a:xfrm>
            <a:off x="7055186" y="3776345"/>
            <a:ext cx="0" cy="235585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Conexão reta 72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CxnSpPr>
            <a:cxnSpLocks/>
          </xdr:cNvCxnSpPr>
        </xdr:nvCxnSpPr>
        <xdr:spPr>
          <a:xfrm>
            <a:off x="7338299" y="3776344"/>
            <a:ext cx="0" cy="235585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Conexão reta 73">
            <a:extLst>
              <a:ext uri="{FF2B5EF4-FFF2-40B4-BE49-F238E27FC236}">
                <a16:creationId xmlns:a16="http://schemas.microsoft.com/office/drawing/2014/main" id="{00000000-0008-0000-0300-00004A000000}"/>
              </a:ext>
            </a:extLst>
          </xdr:cNvPr>
          <xdr:cNvCxnSpPr>
            <a:cxnSpLocks/>
          </xdr:cNvCxnSpPr>
        </xdr:nvCxnSpPr>
        <xdr:spPr>
          <a:xfrm>
            <a:off x="7655560" y="3776344"/>
            <a:ext cx="0" cy="235585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Conexão reta 74">
            <a:extLst>
              <a:ext uri="{FF2B5EF4-FFF2-40B4-BE49-F238E27FC236}">
                <a16:creationId xmlns:a16="http://schemas.microsoft.com/office/drawing/2014/main" id="{00000000-0008-0000-0300-00004B000000}"/>
              </a:ext>
            </a:extLst>
          </xdr:cNvPr>
          <xdr:cNvCxnSpPr>
            <a:cxnSpLocks/>
            <a:stCxn id="53" idx="3"/>
            <a:endCxn id="54" idx="1"/>
          </xdr:cNvCxnSpPr>
        </xdr:nvCxnSpPr>
        <xdr:spPr>
          <a:xfrm>
            <a:off x="7236174" y="4647409"/>
            <a:ext cx="381445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Conexão reta 75">
            <a:extLst>
              <a:ext uri="{FF2B5EF4-FFF2-40B4-BE49-F238E27FC236}">
                <a16:creationId xmlns:a16="http://schemas.microsoft.com/office/drawing/2014/main" id="{00000000-0008-0000-0300-00004C000000}"/>
              </a:ext>
            </a:extLst>
          </xdr:cNvPr>
          <xdr:cNvCxnSpPr>
            <a:cxnSpLocks/>
          </xdr:cNvCxnSpPr>
        </xdr:nvCxnSpPr>
        <xdr:spPr>
          <a:xfrm flipV="1">
            <a:off x="7244858" y="4907759"/>
            <a:ext cx="381445" cy="3495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" name="Conexão reta 76">
            <a:extLst>
              <a:ext uri="{FF2B5EF4-FFF2-40B4-BE49-F238E27FC236}">
                <a16:creationId xmlns:a16="http://schemas.microsoft.com/office/drawing/2014/main" id="{00000000-0008-0000-0300-00004D000000}"/>
              </a:ext>
            </a:extLst>
          </xdr:cNvPr>
          <xdr:cNvCxnSpPr>
            <a:cxnSpLocks/>
            <a:stCxn id="50" idx="3"/>
          </xdr:cNvCxnSpPr>
        </xdr:nvCxnSpPr>
        <xdr:spPr>
          <a:xfrm>
            <a:off x="7240000" y="5178595"/>
            <a:ext cx="377619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Conexão reta 77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CxnSpPr>
            <a:cxnSpLocks/>
            <a:endCxn id="57" idx="1"/>
          </xdr:cNvCxnSpPr>
        </xdr:nvCxnSpPr>
        <xdr:spPr>
          <a:xfrm flipV="1">
            <a:off x="7244857" y="5417254"/>
            <a:ext cx="365110" cy="1862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Conexão reta 78">
            <a:extLst>
              <a:ext uri="{FF2B5EF4-FFF2-40B4-BE49-F238E27FC236}">
                <a16:creationId xmlns:a16="http://schemas.microsoft.com/office/drawing/2014/main" id="{00000000-0008-0000-0300-00004F000000}"/>
              </a:ext>
            </a:extLst>
          </xdr:cNvPr>
          <xdr:cNvCxnSpPr>
            <a:cxnSpLocks/>
            <a:stCxn id="51" idx="3"/>
            <a:endCxn id="58" idx="1"/>
          </xdr:cNvCxnSpPr>
        </xdr:nvCxnSpPr>
        <xdr:spPr>
          <a:xfrm>
            <a:off x="7244858" y="5636413"/>
            <a:ext cx="372761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0" name="Conexão reta 79">
            <a:extLst>
              <a:ext uri="{FF2B5EF4-FFF2-40B4-BE49-F238E27FC236}">
                <a16:creationId xmlns:a16="http://schemas.microsoft.com/office/drawing/2014/main" id="{00000000-0008-0000-0300-000050000000}"/>
              </a:ext>
            </a:extLst>
          </xdr:cNvPr>
          <xdr:cNvCxnSpPr>
            <a:stCxn id="25" idx="3"/>
            <a:endCxn id="26" idx="1"/>
          </xdr:cNvCxnSpPr>
        </xdr:nvCxnSpPr>
        <xdr:spPr>
          <a:xfrm>
            <a:off x="4902200" y="2311400"/>
            <a:ext cx="213678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Conexão reta 80">
            <a:extLst>
              <a:ext uri="{FF2B5EF4-FFF2-40B4-BE49-F238E27FC236}">
                <a16:creationId xmlns:a16="http://schemas.microsoft.com/office/drawing/2014/main" id="{00000000-0008-0000-0300-000051000000}"/>
              </a:ext>
            </a:extLst>
          </xdr:cNvPr>
          <xdr:cNvCxnSpPr/>
        </xdr:nvCxnSpPr>
        <xdr:spPr>
          <a:xfrm>
            <a:off x="4902200" y="2696845"/>
            <a:ext cx="213678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Conexão reta 81">
            <a:extLst>
              <a:ext uri="{FF2B5EF4-FFF2-40B4-BE49-F238E27FC236}">
                <a16:creationId xmlns:a16="http://schemas.microsoft.com/office/drawing/2014/main" id="{00000000-0008-0000-0300-000052000000}"/>
              </a:ext>
            </a:extLst>
          </xdr:cNvPr>
          <xdr:cNvCxnSpPr>
            <a:cxnSpLocks/>
          </xdr:cNvCxnSpPr>
        </xdr:nvCxnSpPr>
        <xdr:spPr>
          <a:xfrm>
            <a:off x="5504180" y="2311400"/>
            <a:ext cx="236538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" name="Conexão reta 82">
            <a:extLst>
              <a:ext uri="{FF2B5EF4-FFF2-40B4-BE49-F238E27FC236}">
                <a16:creationId xmlns:a16="http://schemas.microsoft.com/office/drawing/2014/main" id="{00000000-0008-0000-0300-000053000000}"/>
              </a:ext>
            </a:extLst>
          </xdr:cNvPr>
          <xdr:cNvCxnSpPr/>
        </xdr:nvCxnSpPr>
        <xdr:spPr>
          <a:xfrm>
            <a:off x="5515610" y="2696845"/>
            <a:ext cx="213678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" name="Conexão reta 83">
            <a:extLst>
              <a:ext uri="{FF2B5EF4-FFF2-40B4-BE49-F238E27FC236}">
                <a16:creationId xmlns:a16="http://schemas.microsoft.com/office/drawing/2014/main" id="{00000000-0008-0000-0300-000054000000}"/>
              </a:ext>
            </a:extLst>
          </xdr:cNvPr>
          <xdr:cNvCxnSpPr/>
        </xdr:nvCxnSpPr>
        <xdr:spPr>
          <a:xfrm>
            <a:off x="6129020" y="2316480"/>
            <a:ext cx="213678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" name="Conexão reta 84">
            <a:extLst>
              <a:ext uri="{FF2B5EF4-FFF2-40B4-BE49-F238E27FC236}">
                <a16:creationId xmlns:a16="http://schemas.microsoft.com/office/drawing/2014/main" id="{00000000-0008-0000-0300-000055000000}"/>
              </a:ext>
            </a:extLst>
          </xdr:cNvPr>
          <xdr:cNvCxnSpPr/>
        </xdr:nvCxnSpPr>
        <xdr:spPr>
          <a:xfrm>
            <a:off x="6133947" y="2696845"/>
            <a:ext cx="213678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Conexão reta 85">
            <a:extLst>
              <a:ext uri="{FF2B5EF4-FFF2-40B4-BE49-F238E27FC236}">
                <a16:creationId xmlns:a16="http://schemas.microsoft.com/office/drawing/2014/main" id="{00000000-0008-0000-0300-000056000000}"/>
              </a:ext>
            </a:extLst>
          </xdr:cNvPr>
          <xdr:cNvCxnSpPr>
            <a:stCxn id="37" idx="2"/>
            <a:endCxn id="40" idx="0"/>
          </xdr:cNvCxnSpPr>
        </xdr:nvCxnSpPr>
        <xdr:spPr>
          <a:xfrm>
            <a:off x="6746676" y="2348865"/>
            <a:ext cx="0" cy="310515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Conexão reta 86">
            <a:extLst>
              <a:ext uri="{FF2B5EF4-FFF2-40B4-BE49-F238E27FC236}">
                <a16:creationId xmlns:a16="http://schemas.microsoft.com/office/drawing/2014/main" id="{00000000-0008-0000-0300-000057000000}"/>
              </a:ext>
            </a:extLst>
          </xdr:cNvPr>
          <xdr:cNvCxnSpPr/>
        </xdr:nvCxnSpPr>
        <xdr:spPr>
          <a:xfrm>
            <a:off x="7027841" y="2348865"/>
            <a:ext cx="0" cy="310515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" name="Conexão reta 87">
            <a:extLst>
              <a:ext uri="{FF2B5EF4-FFF2-40B4-BE49-F238E27FC236}">
                <a16:creationId xmlns:a16="http://schemas.microsoft.com/office/drawing/2014/main" id="{00000000-0008-0000-0300-000058000000}"/>
              </a:ext>
            </a:extLst>
          </xdr:cNvPr>
          <xdr:cNvCxnSpPr/>
        </xdr:nvCxnSpPr>
        <xdr:spPr>
          <a:xfrm>
            <a:off x="7287815" y="2348864"/>
            <a:ext cx="0" cy="310515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" name="Conexão reta 88">
            <a:extLst>
              <a:ext uri="{FF2B5EF4-FFF2-40B4-BE49-F238E27FC236}">
                <a16:creationId xmlns:a16="http://schemas.microsoft.com/office/drawing/2014/main" id="{00000000-0008-0000-0300-000059000000}"/>
              </a:ext>
            </a:extLst>
          </xdr:cNvPr>
          <xdr:cNvCxnSpPr>
            <a:cxnSpLocks/>
          </xdr:cNvCxnSpPr>
        </xdr:nvCxnSpPr>
        <xdr:spPr>
          <a:xfrm>
            <a:off x="5966305" y="954405"/>
            <a:ext cx="717030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Conexão reta 89">
            <a:extLst>
              <a:ext uri="{FF2B5EF4-FFF2-40B4-BE49-F238E27FC236}">
                <a16:creationId xmlns:a16="http://schemas.microsoft.com/office/drawing/2014/main" id="{00000000-0008-0000-0300-00005A000000}"/>
              </a:ext>
            </a:extLst>
          </xdr:cNvPr>
          <xdr:cNvCxnSpPr>
            <a:cxnSpLocks/>
          </xdr:cNvCxnSpPr>
        </xdr:nvCxnSpPr>
        <xdr:spPr>
          <a:xfrm>
            <a:off x="6638226" y="414020"/>
            <a:ext cx="35476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Conexão reta 90">
            <a:extLst>
              <a:ext uri="{FF2B5EF4-FFF2-40B4-BE49-F238E27FC236}">
                <a16:creationId xmlns:a16="http://schemas.microsoft.com/office/drawing/2014/main" id="{00000000-0008-0000-0300-00005B000000}"/>
              </a:ext>
            </a:extLst>
          </xdr:cNvPr>
          <xdr:cNvCxnSpPr>
            <a:cxnSpLocks/>
          </xdr:cNvCxnSpPr>
        </xdr:nvCxnSpPr>
        <xdr:spPr>
          <a:xfrm flipV="1">
            <a:off x="6673175" y="410845"/>
            <a:ext cx="0" cy="543560"/>
          </a:xfrm>
          <a:prstGeom prst="line">
            <a:avLst/>
          </a:prstGeom>
          <a:ln w="12700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" name="Conexão reta 91">
            <a:extLst>
              <a:ext uri="{FF2B5EF4-FFF2-40B4-BE49-F238E27FC236}">
                <a16:creationId xmlns:a16="http://schemas.microsoft.com/office/drawing/2014/main" id="{00000000-0008-0000-0300-00005C000000}"/>
              </a:ext>
            </a:extLst>
          </xdr:cNvPr>
          <xdr:cNvCxnSpPr>
            <a:cxnSpLocks/>
          </xdr:cNvCxnSpPr>
        </xdr:nvCxnSpPr>
        <xdr:spPr>
          <a:xfrm flipV="1">
            <a:off x="6673175" y="922655"/>
            <a:ext cx="1147882" cy="1905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" name="Conexão reta 92">
            <a:extLst>
              <a:ext uri="{FF2B5EF4-FFF2-40B4-BE49-F238E27FC236}">
                <a16:creationId xmlns:a16="http://schemas.microsoft.com/office/drawing/2014/main" id="{00000000-0008-0000-0300-00005D000000}"/>
              </a:ext>
            </a:extLst>
          </xdr:cNvPr>
          <xdr:cNvCxnSpPr>
            <a:cxnSpLocks/>
          </xdr:cNvCxnSpPr>
        </xdr:nvCxnSpPr>
        <xdr:spPr>
          <a:xfrm>
            <a:off x="6741825" y="2498025"/>
            <a:ext cx="813101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Conexão reta 93">
            <a:extLst>
              <a:ext uri="{FF2B5EF4-FFF2-40B4-BE49-F238E27FC236}">
                <a16:creationId xmlns:a16="http://schemas.microsoft.com/office/drawing/2014/main" id="{00000000-0008-0000-0300-00005E000000}"/>
              </a:ext>
            </a:extLst>
          </xdr:cNvPr>
          <xdr:cNvCxnSpPr>
            <a:cxnSpLocks/>
          </xdr:cNvCxnSpPr>
        </xdr:nvCxnSpPr>
        <xdr:spPr>
          <a:xfrm>
            <a:off x="7554926" y="2498025"/>
            <a:ext cx="0" cy="354999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" name="Conexão reta 94">
            <a:extLst>
              <a:ext uri="{FF2B5EF4-FFF2-40B4-BE49-F238E27FC236}">
                <a16:creationId xmlns:a16="http://schemas.microsoft.com/office/drawing/2014/main" id="{00000000-0008-0000-0300-00005F000000}"/>
              </a:ext>
            </a:extLst>
          </xdr:cNvPr>
          <xdr:cNvCxnSpPr>
            <a:cxnSpLocks/>
          </xdr:cNvCxnSpPr>
        </xdr:nvCxnSpPr>
        <xdr:spPr>
          <a:xfrm flipH="1">
            <a:off x="7458521" y="2853024"/>
            <a:ext cx="96405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Conexão reta 95">
            <a:extLst>
              <a:ext uri="{FF2B5EF4-FFF2-40B4-BE49-F238E27FC236}">
                <a16:creationId xmlns:a16="http://schemas.microsoft.com/office/drawing/2014/main" id="{00000000-0008-0000-0300-000060000000}"/>
              </a:ext>
            </a:extLst>
          </xdr:cNvPr>
          <xdr:cNvCxnSpPr>
            <a:cxnSpLocks/>
          </xdr:cNvCxnSpPr>
        </xdr:nvCxnSpPr>
        <xdr:spPr>
          <a:xfrm flipH="1">
            <a:off x="7452425" y="2889525"/>
            <a:ext cx="59236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Conexão reta 96">
            <a:extLst>
              <a:ext uri="{FF2B5EF4-FFF2-40B4-BE49-F238E27FC236}">
                <a16:creationId xmlns:a16="http://schemas.microsoft.com/office/drawing/2014/main" id="{00000000-0008-0000-0300-000061000000}"/>
              </a:ext>
            </a:extLst>
          </xdr:cNvPr>
          <xdr:cNvCxnSpPr/>
        </xdr:nvCxnSpPr>
        <xdr:spPr>
          <a:xfrm>
            <a:off x="7506723" y="2888343"/>
            <a:ext cx="0" cy="43815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Conexão reta 97">
            <a:extLst>
              <a:ext uri="{FF2B5EF4-FFF2-40B4-BE49-F238E27FC236}">
                <a16:creationId xmlns:a16="http://schemas.microsoft.com/office/drawing/2014/main" id="{00000000-0008-0000-0300-000062000000}"/>
              </a:ext>
            </a:extLst>
          </xdr:cNvPr>
          <xdr:cNvCxnSpPr>
            <a:cxnSpLocks/>
          </xdr:cNvCxnSpPr>
        </xdr:nvCxnSpPr>
        <xdr:spPr>
          <a:xfrm>
            <a:off x="7055186" y="3894136"/>
            <a:ext cx="92549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Conexão reta 98">
            <a:extLst>
              <a:ext uri="{FF2B5EF4-FFF2-40B4-BE49-F238E27FC236}">
                <a16:creationId xmlns:a16="http://schemas.microsoft.com/office/drawing/2014/main" id="{00000000-0008-0000-0300-000063000000}"/>
              </a:ext>
            </a:extLst>
          </xdr:cNvPr>
          <xdr:cNvCxnSpPr>
            <a:cxnSpLocks/>
          </xdr:cNvCxnSpPr>
        </xdr:nvCxnSpPr>
        <xdr:spPr>
          <a:xfrm flipV="1">
            <a:off x="7980680" y="3515178"/>
            <a:ext cx="0" cy="378958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Conexão reta 99">
            <a:extLst>
              <a:ext uri="{FF2B5EF4-FFF2-40B4-BE49-F238E27FC236}">
                <a16:creationId xmlns:a16="http://schemas.microsoft.com/office/drawing/2014/main" id="{00000000-0008-0000-0300-000064000000}"/>
              </a:ext>
            </a:extLst>
          </xdr:cNvPr>
          <xdr:cNvCxnSpPr>
            <a:cxnSpLocks/>
          </xdr:cNvCxnSpPr>
        </xdr:nvCxnSpPr>
        <xdr:spPr>
          <a:xfrm>
            <a:off x="7575958" y="3509252"/>
            <a:ext cx="410032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Conexão reta 100">
            <a:extLst>
              <a:ext uri="{FF2B5EF4-FFF2-40B4-BE49-F238E27FC236}">
                <a16:creationId xmlns:a16="http://schemas.microsoft.com/office/drawing/2014/main" id="{00000000-0008-0000-0300-000065000000}"/>
              </a:ext>
            </a:extLst>
          </xdr:cNvPr>
          <xdr:cNvCxnSpPr>
            <a:cxnSpLocks/>
          </xdr:cNvCxnSpPr>
        </xdr:nvCxnSpPr>
        <xdr:spPr>
          <a:xfrm>
            <a:off x="5006187" y="2932158"/>
            <a:ext cx="1623808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Conexão reta 101">
            <a:extLst>
              <a:ext uri="{FF2B5EF4-FFF2-40B4-BE49-F238E27FC236}">
                <a16:creationId xmlns:a16="http://schemas.microsoft.com/office/drawing/2014/main" id="{00000000-0008-0000-0300-000066000000}"/>
              </a:ext>
            </a:extLst>
          </xdr:cNvPr>
          <xdr:cNvCxnSpPr>
            <a:cxnSpLocks/>
          </xdr:cNvCxnSpPr>
        </xdr:nvCxnSpPr>
        <xdr:spPr>
          <a:xfrm>
            <a:off x="7426896" y="2875008"/>
            <a:ext cx="0" cy="5588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Conexão reta 102">
            <a:extLst>
              <a:ext uri="{FF2B5EF4-FFF2-40B4-BE49-F238E27FC236}">
                <a16:creationId xmlns:a16="http://schemas.microsoft.com/office/drawing/2014/main" id="{00000000-0008-0000-0300-000067000000}"/>
              </a:ext>
            </a:extLst>
          </xdr:cNvPr>
          <xdr:cNvCxnSpPr/>
        </xdr:nvCxnSpPr>
        <xdr:spPr>
          <a:xfrm>
            <a:off x="8564880" y="2428240"/>
            <a:ext cx="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04" name="Agrupar 103">
            <a:extLst>
              <a:ext uri="{FF2B5EF4-FFF2-40B4-BE49-F238E27FC236}">
                <a16:creationId xmlns:a16="http://schemas.microsoft.com/office/drawing/2014/main" id="{00000000-0008-0000-0300-000068000000}"/>
              </a:ext>
            </a:extLst>
          </xdr:cNvPr>
          <xdr:cNvGrpSpPr/>
        </xdr:nvGrpSpPr>
        <xdr:grpSpPr>
          <a:xfrm>
            <a:off x="7293992" y="2776467"/>
            <a:ext cx="277566" cy="122642"/>
            <a:chOff x="3306955" y="649346"/>
            <a:chExt cx="298209" cy="216158"/>
          </a:xfrm>
        </xdr:grpSpPr>
        <xdr:sp macro="" textlink="">
          <xdr:nvSpPr>
            <xdr:cNvPr id="146" name="Retângulo 145">
              <a:extLst>
                <a:ext uri="{FF2B5EF4-FFF2-40B4-BE49-F238E27FC236}">
                  <a16:creationId xmlns:a16="http://schemas.microsoft.com/office/drawing/2014/main" id="{00000000-0008-0000-0300-000092000000}"/>
                </a:ext>
              </a:extLst>
            </xdr:cNvPr>
            <xdr:cNvSpPr/>
          </xdr:nvSpPr>
          <xdr:spPr>
            <a:xfrm>
              <a:off x="3381769" y="741679"/>
              <a:ext cx="113271" cy="123825"/>
            </a:xfrm>
            <a:prstGeom prst="rect">
              <a:avLst/>
            </a:prstGeom>
            <a:solidFill>
              <a:srgbClr val="BD2EDA"/>
            </a:solidFill>
            <a:ln>
              <a:solidFill>
                <a:srgbClr val="BD2EDA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PT"/>
            </a:p>
          </xdr:txBody>
        </xdr:sp>
        <xdr:sp macro="" textlink="">
          <xdr:nvSpPr>
            <xdr:cNvPr id="147" name="CaixaDeTexto 218">
              <a:extLst>
                <a:ext uri="{FF2B5EF4-FFF2-40B4-BE49-F238E27FC236}">
                  <a16:creationId xmlns:a16="http://schemas.microsoft.com/office/drawing/2014/main" id="{00000000-0008-0000-0300-000093000000}"/>
                </a:ext>
              </a:extLst>
            </xdr:cNvPr>
            <xdr:cNvSpPr txBox="1"/>
          </xdr:nvSpPr>
          <xdr:spPr>
            <a:xfrm>
              <a:off x="3306955" y="649346"/>
              <a:ext cx="298209" cy="18466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600"/>
                <a:t>CP</a:t>
              </a:r>
            </a:p>
          </xdr:txBody>
        </xdr:sp>
      </xdr:grpSp>
      <xdr:cxnSp macro="">
        <xdr:nvCxnSpPr>
          <xdr:cNvPr id="105" name="Conexão reta 104">
            <a:extLst>
              <a:ext uri="{FF2B5EF4-FFF2-40B4-BE49-F238E27FC236}">
                <a16:creationId xmlns:a16="http://schemas.microsoft.com/office/drawing/2014/main" id="{00000000-0008-0000-0300-000069000000}"/>
              </a:ext>
            </a:extLst>
          </xdr:cNvPr>
          <xdr:cNvCxnSpPr>
            <a:cxnSpLocks/>
          </xdr:cNvCxnSpPr>
        </xdr:nvCxnSpPr>
        <xdr:spPr>
          <a:xfrm flipH="1">
            <a:off x="5615618" y="2304141"/>
            <a:ext cx="3007" cy="626747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" name="Conexão reta 105">
            <a:extLst>
              <a:ext uri="{FF2B5EF4-FFF2-40B4-BE49-F238E27FC236}">
                <a16:creationId xmlns:a16="http://schemas.microsoft.com/office/drawing/2014/main" id="{00000000-0008-0000-0300-00006A000000}"/>
              </a:ext>
            </a:extLst>
          </xdr:cNvPr>
          <xdr:cNvCxnSpPr>
            <a:cxnSpLocks/>
          </xdr:cNvCxnSpPr>
        </xdr:nvCxnSpPr>
        <xdr:spPr>
          <a:xfrm flipH="1">
            <a:off x="6235555" y="2304141"/>
            <a:ext cx="3007" cy="626747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Conexão reta 106">
            <a:extLst>
              <a:ext uri="{FF2B5EF4-FFF2-40B4-BE49-F238E27FC236}">
                <a16:creationId xmlns:a16="http://schemas.microsoft.com/office/drawing/2014/main" id="{00000000-0008-0000-0300-00006B000000}"/>
              </a:ext>
            </a:extLst>
          </xdr:cNvPr>
          <xdr:cNvCxnSpPr>
            <a:cxnSpLocks/>
          </xdr:cNvCxnSpPr>
        </xdr:nvCxnSpPr>
        <xdr:spPr>
          <a:xfrm>
            <a:off x="7579678" y="3507035"/>
            <a:ext cx="0" cy="2794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" name="Conexão reta 107">
            <a:extLst>
              <a:ext uri="{FF2B5EF4-FFF2-40B4-BE49-F238E27FC236}">
                <a16:creationId xmlns:a16="http://schemas.microsoft.com/office/drawing/2014/main" id="{00000000-0008-0000-0300-00006C000000}"/>
              </a:ext>
            </a:extLst>
          </xdr:cNvPr>
          <xdr:cNvCxnSpPr/>
        </xdr:nvCxnSpPr>
        <xdr:spPr>
          <a:xfrm>
            <a:off x="7579678" y="3514227"/>
            <a:ext cx="0" cy="4572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Conexão reta 108">
            <a:extLst>
              <a:ext uri="{FF2B5EF4-FFF2-40B4-BE49-F238E27FC236}">
                <a16:creationId xmlns:a16="http://schemas.microsoft.com/office/drawing/2014/main" id="{00000000-0008-0000-0300-00006D000000}"/>
              </a:ext>
            </a:extLst>
          </xdr:cNvPr>
          <xdr:cNvCxnSpPr>
            <a:cxnSpLocks/>
          </xdr:cNvCxnSpPr>
        </xdr:nvCxnSpPr>
        <xdr:spPr>
          <a:xfrm flipH="1" flipV="1">
            <a:off x="7506232" y="3553005"/>
            <a:ext cx="7754" cy="2080271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Conexão reta 109">
            <a:extLst>
              <a:ext uri="{FF2B5EF4-FFF2-40B4-BE49-F238E27FC236}">
                <a16:creationId xmlns:a16="http://schemas.microsoft.com/office/drawing/2014/main" id="{00000000-0008-0000-0300-00006E000000}"/>
              </a:ext>
            </a:extLst>
          </xdr:cNvPr>
          <xdr:cNvCxnSpPr>
            <a:stCxn id="145" idx="1"/>
            <a:endCxn id="145" idx="1"/>
          </xdr:cNvCxnSpPr>
        </xdr:nvCxnSpPr>
        <xdr:spPr>
          <a:xfrm>
            <a:off x="7485060" y="3555858"/>
            <a:ext cx="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11" name="Agrupar 110">
            <a:extLst>
              <a:ext uri="{FF2B5EF4-FFF2-40B4-BE49-F238E27FC236}">
                <a16:creationId xmlns:a16="http://schemas.microsoft.com/office/drawing/2014/main" id="{00000000-0008-0000-0300-00006F000000}"/>
              </a:ext>
            </a:extLst>
          </xdr:cNvPr>
          <xdr:cNvGrpSpPr/>
        </xdr:nvGrpSpPr>
        <xdr:grpSpPr>
          <a:xfrm>
            <a:off x="7485060" y="3503471"/>
            <a:ext cx="277566" cy="122642"/>
            <a:chOff x="3306955" y="649346"/>
            <a:chExt cx="298209" cy="216158"/>
          </a:xfrm>
        </xdr:grpSpPr>
        <xdr:sp macro="" textlink="">
          <xdr:nvSpPr>
            <xdr:cNvPr id="144" name="Retângulo 143">
              <a:extLst>
                <a:ext uri="{FF2B5EF4-FFF2-40B4-BE49-F238E27FC236}">
                  <a16:creationId xmlns:a16="http://schemas.microsoft.com/office/drawing/2014/main" id="{00000000-0008-0000-0300-000090000000}"/>
                </a:ext>
              </a:extLst>
            </xdr:cNvPr>
            <xdr:cNvSpPr/>
          </xdr:nvSpPr>
          <xdr:spPr>
            <a:xfrm>
              <a:off x="3381769" y="741679"/>
              <a:ext cx="113271" cy="123825"/>
            </a:xfrm>
            <a:prstGeom prst="rect">
              <a:avLst/>
            </a:prstGeom>
            <a:solidFill>
              <a:srgbClr val="BD2EDA"/>
            </a:solidFill>
            <a:ln>
              <a:solidFill>
                <a:srgbClr val="BD2EDA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PT"/>
            </a:p>
          </xdr:txBody>
        </xdr:sp>
        <xdr:sp macro="" textlink="">
          <xdr:nvSpPr>
            <xdr:cNvPr id="145" name="CaixaDeTexto 249">
              <a:extLst>
                <a:ext uri="{FF2B5EF4-FFF2-40B4-BE49-F238E27FC236}">
                  <a16:creationId xmlns:a16="http://schemas.microsoft.com/office/drawing/2014/main" id="{00000000-0008-0000-0300-000091000000}"/>
                </a:ext>
              </a:extLst>
            </xdr:cNvPr>
            <xdr:cNvSpPr txBox="1"/>
          </xdr:nvSpPr>
          <xdr:spPr>
            <a:xfrm>
              <a:off x="3306955" y="649346"/>
              <a:ext cx="298209" cy="18466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600"/>
                <a:t>CP</a:t>
              </a:r>
            </a:p>
          </xdr:txBody>
        </xdr:sp>
      </xdr:grpSp>
      <xdr:grpSp>
        <xdr:nvGrpSpPr>
          <xdr:cNvPr id="112" name="Agrupar 111">
            <a:extLst>
              <a:ext uri="{FF2B5EF4-FFF2-40B4-BE49-F238E27FC236}">
                <a16:creationId xmlns:a16="http://schemas.microsoft.com/office/drawing/2014/main" id="{00000000-0008-0000-0300-000070000000}"/>
              </a:ext>
            </a:extLst>
          </xdr:cNvPr>
          <xdr:cNvGrpSpPr/>
        </xdr:nvGrpSpPr>
        <xdr:grpSpPr>
          <a:xfrm>
            <a:off x="5581756" y="520754"/>
            <a:ext cx="314838" cy="184666"/>
            <a:chOff x="3454804" y="277264"/>
            <a:chExt cx="314838" cy="184666"/>
          </a:xfrm>
        </xdr:grpSpPr>
        <xdr:sp macro="" textlink="">
          <xdr:nvSpPr>
            <xdr:cNvPr id="142" name="Retângulo 141">
              <a:extLst>
                <a:ext uri="{FF2B5EF4-FFF2-40B4-BE49-F238E27FC236}">
                  <a16:creationId xmlns:a16="http://schemas.microsoft.com/office/drawing/2014/main" id="{00000000-0008-0000-0300-00008E000000}"/>
                </a:ext>
              </a:extLst>
            </xdr:cNvPr>
            <xdr:cNvSpPr/>
          </xdr:nvSpPr>
          <xdr:spPr>
            <a:xfrm>
              <a:off x="3531870" y="343403"/>
              <a:ext cx="87630" cy="52388"/>
            </a:xfrm>
            <a:prstGeom prst="rect">
              <a:avLst/>
            </a:prstGeom>
            <a:solidFill>
              <a:srgbClr val="FA9496"/>
            </a:solidFill>
            <a:ln>
              <a:solidFill>
                <a:srgbClr val="FA949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PT"/>
            </a:p>
          </xdr:txBody>
        </xdr:sp>
        <xdr:sp macro="" textlink="">
          <xdr:nvSpPr>
            <xdr:cNvPr id="143" name="CaixaDeTexto 335">
              <a:extLst>
                <a:ext uri="{FF2B5EF4-FFF2-40B4-BE49-F238E27FC236}">
                  <a16:creationId xmlns:a16="http://schemas.microsoft.com/office/drawing/2014/main" id="{00000000-0008-0000-0300-00008F000000}"/>
                </a:ext>
              </a:extLst>
            </xdr:cNvPr>
            <xdr:cNvSpPr txBox="1"/>
          </xdr:nvSpPr>
          <xdr:spPr>
            <a:xfrm>
              <a:off x="3454804" y="277264"/>
              <a:ext cx="314838" cy="18466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600"/>
                <a:t>IC</a:t>
              </a:r>
            </a:p>
          </xdr:txBody>
        </xdr:sp>
      </xdr:grpSp>
      <xdr:grpSp>
        <xdr:nvGrpSpPr>
          <xdr:cNvPr id="113" name="Agrupar 112">
            <a:extLst>
              <a:ext uri="{FF2B5EF4-FFF2-40B4-BE49-F238E27FC236}">
                <a16:creationId xmlns:a16="http://schemas.microsoft.com/office/drawing/2014/main" id="{00000000-0008-0000-0300-000071000000}"/>
              </a:ext>
            </a:extLst>
          </xdr:cNvPr>
          <xdr:cNvGrpSpPr/>
        </xdr:nvGrpSpPr>
        <xdr:grpSpPr>
          <a:xfrm>
            <a:off x="5554575" y="648778"/>
            <a:ext cx="308632" cy="188177"/>
            <a:chOff x="3649555" y="193099"/>
            <a:chExt cx="319036" cy="184666"/>
          </a:xfrm>
        </xdr:grpSpPr>
        <xdr:sp macro="" textlink="">
          <xdr:nvSpPr>
            <xdr:cNvPr id="140" name="Retângulo 139">
              <a:extLst>
                <a:ext uri="{FF2B5EF4-FFF2-40B4-BE49-F238E27FC236}">
                  <a16:creationId xmlns:a16="http://schemas.microsoft.com/office/drawing/2014/main" id="{00000000-0008-0000-0300-00008C000000}"/>
                </a:ext>
              </a:extLst>
            </xdr:cNvPr>
            <xdr:cNvSpPr/>
          </xdr:nvSpPr>
          <xdr:spPr>
            <a:xfrm>
              <a:off x="3730944" y="255270"/>
              <a:ext cx="124776" cy="60324"/>
            </a:xfrm>
            <a:prstGeom prst="rect">
              <a:avLst/>
            </a:prstGeom>
            <a:solidFill>
              <a:srgbClr val="92D050"/>
            </a:solidFill>
            <a:ln>
              <a:solidFill>
                <a:srgbClr val="92D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PT"/>
            </a:p>
          </xdr:txBody>
        </xdr:sp>
        <xdr:sp macro="" textlink="">
          <xdr:nvSpPr>
            <xdr:cNvPr id="141" name="CaixaDeTexto 338">
              <a:extLst>
                <a:ext uri="{FF2B5EF4-FFF2-40B4-BE49-F238E27FC236}">
                  <a16:creationId xmlns:a16="http://schemas.microsoft.com/office/drawing/2014/main" id="{00000000-0008-0000-0300-00008D000000}"/>
                </a:ext>
              </a:extLst>
            </xdr:cNvPr>
            <xdr:cNvSpPr txBox="1"/>
          </xdr:nvSpPr>
          <xdr:spPr>
            <a:xfrm>
              <a:off x="3649555" y="193099"/>
              <a:ext cx="319036" cy="18466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600"/>
                <a:t>MC</a:t>
              </a:r>
            </a:p>
          </xdr:txBody>
        </xdr:sp>
      </xdr:grpSp>
      <xdr:cxnSp macro="">
        <xdr:nvCxnSpPr>
          <xdr:cNvPr id="114" name="Conexão reta 113">
            <a:extLst>
              <a:ext uri="{FF2B5EF4-FFF2-40B4-BE49-F238E27FC236}">
                <a16:creationId xmlns:a16="http://schemas.microsoft.com/office/drawing/2014/main" id="{00000000-0008-0000-0300-000072000000}"/>
              </a:ext>
            </a:extLst>
          </xdr:cNvPr>
          <xdr:cNvCxnSpPr>
            <a:cxnSpLocks/>
          </xdr:cNvCxnSpPr>
        </xdr:nvCxnSpPr>
        <xdr:spPr>
          <a:xfrm>
            <a:off x="6629995" y="401320"/>
            <a:ext cx="53340" cy="0"/>
          </a:xfrm>
          <a:prstGeom prst="line">
            <a:avLst/>
          </a:prstGeom>
          <a:ln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15" name="Agrupar 114">
            <a:extLst>
              <a:ext uri="{FF2B5EF4-FFF2-40B4-BE49-F238E27FC236}">
                <a16:creationId xmlns:a16="http://schemas.microsoft.com/office/drawing/2014/main" id="{00000000-0008-0000-0300-000073000000}"/>
              </a:ext>
            </a:extLst>
          </xdr:cNvPr>
          <xdr:cNvGrpSpPr/>
        </xdr:nvGrpSpPr>
        <xdr:grpSpPr>
          <a:xfrm>
            <a:off x="6463161" y="343400"/>
            <a:ext cx="277566" cy="122642"/>
            <a:chOff x="3306955" y="649346"/>
            <a:chExt cx="298209" cy="216158"/>
          </a:xfrm>
        </xdr:grpSpPr>
        <xdr:sp macro="" textlink="">
          <xdr:nvSpPr>
            <xdr:cNvPr id="138" name="Retângulo 137">
              <a:extLst>
                <a:ext uri="{FF2B5EF4-FFF2-40B4-BE49-F238E27FC236}">
                  <a16:creationId xmlns:a16="http://schemas.microsoft.com/office/drawing/2014/main" id="{00000000-0008-0000-0300-00008A000000}"/>
                </a:ext>
              </a:extLst>
            </xdr:cNvPr>
            <xdr:cNvSpPr/>
          </xdr:nvSpPr>
          <xdr:spPr>
            <a:xfrm>
              <a:off x="3381769" y="741679"/>
              <a:ext cx="113271" cy="123825"/>
            </a:xfrm>
            <a:prstGeom prst="rect">
              <a:avLst/>
            </a:prstGeom>
            <a:solidFill>
              <a:srgbClr val="BD2EDA"/>
            </a:solidFill>
            <a:ln>
              <a:solidFill>
                <a:srgbClr val="BD2EDA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PT"/>
            </a:p>
          </xdr:txBody>
        </xdr:sp>
        <xdr:sp macro="" textlink="">
          <xdr:nvSpPr>
            <xdr:cNvPr id="139" name="CaixaDeTexto 184">
              <a:extLst>
                <a:ext uri="{FF2B5EF4-FFF2-40B4-BE49-F238E27FC236}">
                  <a16:creationId xmlns:a16="http://schemas.microsoft.com/office/drawing/2014/main" id="{00000000-0008-0000-0300-00008B000000}"/>
                </a:ext>
              </a:extLst>
            </xdr:cNvPr>
            <xdr:cNvSpPr txBox="1"/>
          </xdr:nvSpPr>
          <xdr:spPr>
            <a:xfrm>
              <a:off x="3306955" y="649346"/>
              <a:ext cx="298209" cy="18466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600"/>
                <a:t>CP</a:t>
              </a:r>
            </a:p>
          </xdr:txBody>
        </xdr:sp>
      </xdr:grpSp>
      <xdr:cxnSp macro="">
        <xdr:nvCxnSpPr>
          <xdr:cNvPr id="116" name="Conexão reta 115">
            <a:extLst>
              <a:ext uri="{FF2B5EF4-FFF2-40B4-BE49-F238E27FC236}">
                <a16:creationId xmlns:a16="http://schemas.microsoft.com/office/drawing/2014/main" id="{00000000-0008-0000-0300-000074000000}"/>
              </a:ext>
            </a:extLst>
          </xdr:cNvPr>
          <xdr:cNvCxnSpPr>
            <a:cxnSpLocks/>
          </xdr:cNvCxnSpPr>
        </xdr:nvCxnSpPr>
        <xdr:spPr>
          <a:xfrm flipV="1">
            <a:off x="6678416" y="343403"/>
            <a:ext cx="0" cy="56302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" name="Conexão reta 116">
            <a:extLst>
              <a:ext uri="{FF2B5EF4-FFF2-40B4-BE49-F238E27FC236}">
                <a16:creationId xmlns:a16="http://schemas.microsoft.com/office/drawing/2014/main" id="{00000000-0008-0000-0300-000075000000}"/>
              </a:ext>
            </a:extLst>
          </xdr:cNvPr>
          <xdr:cNvCxnSpPr>
            <a:cxnSpLocks/>
          </xdr:cNvCxnSpPr>
        </xdr:nvCxnSpPr>
        <xdr:spPr>
          <a:xfrm>
            <a:off x="5724303" y="343403"/>
            <a:ext cx="960897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Conexão reta 117">
            <a:extLst>
              <a:ext uri="{FF2B5EF4-FFF2-40B4-BE49-F238E27FC236}">
                <a16:creationId xmlns:a16="http://schemas.microsoft.com/office/drawing/2014/main" id="{00000000-0008-0000-0300-000076000000}"/>
              </a:ext>
            </a:extLst>
          </xdr:cNvPr>
          <xdr:cNvCxnSpPr>
            <a:cxnSpLocks/>
          </xdr:cNvCxnSpPr>
        </xdr:nvCxnSpPr>
        <xdr:spPr>
          <a:xfrm flipV="1">
            <a:off x="7504928" y="284691"/>
            <a:ext cx="3293" cy="3412722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Conexão reta 118">
            <a:extLst>
              <a:ext uri="{FF2B5EF4-FFF2-40B4-BE49-F238E27FC236}">
                <a16:creationId xmlns:a16="http://schemas.microsoft.com/office/drawing/2014/main" id="{00000000-0008-0000-0300-000077000000}"/>
              </a:ext>
            </a:extLst>
          </xdr:cNvPr>
          <xdr:cNvCxnSpPr>
            <a:cxnSpLocks/>
          </xdr:cNvCxnSpPr>
        </xdr:nvCxnSpPr>
        <xdr:spPr>
          <a:xfrm flipH="1">
            <a:off x="5800725" y="289560"/>
            <a:ext cx="1706628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" name="Conexão reta 119">
            <a:extLst>
              <a:ext uri="{FF2B5EF4-FFF2-40B4-BE49-F238E27FC236}">
                <a16:creationId xmlns:a16="http://schemas.microsoft.com/office/drawing/2014/main" id="{00000000-0008-0000-0300-000078000000}"/>
              </a:ext>
            </a:extLst>
          </xdr:cNvPr>
          <xdr:cNvCxnSpPr/>
        </xdr:nvCxnSpPr>
        <xdr:spPr>
          <a:xfrm>
            <a:off x="7499044" y="3561225"/>
            <a:ext cx="55882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" name="Conexão reta 120">
            <a:extLst>
              <a:ext uri="{FF2B5EF4-FFF2-40B4-BE49-F238E27FC236}">
                <a16:creationId xmlns:a16="http://schemas.microsoft.com/office/drawing/2014/main" id="{00000000-0008-0000-0300-000079000000}"/>
              </a:ext>
            </a:extLst>
          </xdr:cNvPr>
          <xdr:cNvCxnSpPr>
            <a:cxnSpLocks/>
          </xdr:cNvCxnSpPr>
        </xdr:nvCxnSpPr>
        <xdr:spPr>
          <a:xfrm>
            <a:off x="5928364" y="3167380"/>
            <a:ext cx="0" cy="25400"/>
          </a:xfrm>
          <a:prstGeom prst="line">
            <a:avLst/>
          </a:prstGeom>
          <a:ln w="6350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2" name="Conexão reta 121">
            <a:extLst>
              <a:ext uri="{FF2B5EF4-FFF2-40B4-BE49-F238E27FC236}">
                <a16:creationId xmlns:a16="http://schemas.microsoft.com/office/drawing/2014/main" id="{00000000-0008-0000-0300-00007A000000}"/>
              </a:ext>
            </a:extLst>
          </xdr:cNvPr>
          <xdr:cNvCxnSpPr>
            <a:cxnSpLocks/>
          </xdr:cNvCxnSpPr>
        </xdr:nvCxnSpPr>
        <xdr:spPr>
          <a:xfrm>
            <a:off x="6622592" y="2930888"/>
            <a:ext cx="809832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" name="Conexão reta 122">
            <a:extLst>
              <a:ext uri="{FF2B5EF4-FFF2-40B4-BE49-F238E27FC236}">
                <a16:creationId xmlns:a16="http://schemas.microsoft.com/office/drawing/2014/main" id="{00000000-0008-0000-0300-00007B000000}"/>
              </a:ext>
            </a:extLst>
          </xdr:cNvPr>
          <xdr:cNvCxnSpPr>
            <a:cxnSpLocks/>
          </xdr:cNvCxnSpPr>
        </xdr:nvCxnSpPr>
        <xdr:spPr>
          <a:xfrm>
            <a:off x="5750633" y="753652"/>
            <a:ext cx="41773" cy="0"/>
          </a:xfrm>
          <a:prstGeom prst="line">
            <a:avLst/>
          </a:prstGeom>
          <a:ln w="9525">
            <a:solidFill>
              <a:srgbClr val="FFFF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4" name="Conexão reta 123">
            <a:extLst>
              <a:ext uri="{FF2B5EF4-FFF2-40B4-BE49-F238E27FC236}">
                <a16:creationId xmlns:a16="http://schemas.microsoft.com/office/drawing/2014/main" id="{00000000-0008-0000-0300-00007C000000}"/>
              </a:ext>
            </a:extLst>
          </xdr:cNvPr>
          <xdr:cNvCxnSpPr>
            <a:cxnSpLocks/>
          </xdr:cNvCxnSpPr>
        </xdr:nvCxnSpPr>
        <xdr:spPr>
          <a:xfrm>
            <a:off x="5780498" y="345943"/>
            <a:ext cx="0" cy="412173"/>
          </a:xfrm>
          <a:prstGeom prst="line">
            <a:avLst/>
          </a:prstGeom>
          <a:ln w="9525">
            <a:solidFill>
              <a:srgbClr val="FFFF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5" name="Conexão reta 124">
            <a:extLst>
              <a:ext uri="{FF2B5EF4-FFF2-40B4-BE49-F238E27FC236}">
                <a16:creationId xmlns:a16="http://schemas.microsoft.com/office/drawing/2014/main" id="{00000000-0008-0000-0300-00007D000000}"/>
              </a:ext>
            </a:extLst>
          </xdr:cNvPr>
          <xdr:cNvCxnSpPr>
            <a:cxnSpLocks/>
          </xdr:cNvCxnSpPr>
        </xdr:nvCxnSpPr>
        <xdr:spPr>
          <a:xfrm flipV="1">
            <a:off x="4734706" y="335109"/>
            <a:ext cx="1050395" cy="8371"/>
          </a:xfrm>
          <a:prstGeom prst="line">
            <a:avLst/>
          </a:prstGeom>
          <a:ln w="9525">
            <a:solidFill>
              <a:srgbClr val="FFFF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6" name="Conexão reta 125">
            <a:extLst>
              <a:ext uri="{FF2B5EF4-FFF2-40B4-BE49-F238E27FC236}">
                <a16:creationId xmlns:a16="http://schemas.microsoft.com/office/drawing/2014/main" id="{00000000-0008-0000-0300-00007E000000}"/>
              </a:ext>
            </a:extLst>
          </xdr:cNvPr>
          <xdr:cNvCxnSpPr>
            <a:cxnSpLocks/>
          </xdr:cNvCxnSpPr>
        </xdr:nvCxnSpPr>
        <xdr:spPr>
          <a:xfrm flipV="1">
            <a:off x="5394960" y="294640"/>
            <a:ext cx="0" cy="2032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7" name="Conexão reta 126">
            <a:extLst>
              <a:ext uri="{FF2B5EF4-FFF2-40B4-BE49-F238E27FC236}">
                <a16:creationId xmlns:a16="http://schemas.microsoft.com/office/drawing/2014/main" id="{00000000-0008-0000-0300-00007F000000}"/>
              </a:ext>
            </a:extLst>
          </xdr:cNvPr>
          <xdr:cNvCxnSpPr>
            <a:cxnSpLocks/>
          </xdr:cNvCxnSpPr>
        </xdr:nvCxnSpPr>
        <xdr:spPr>
          <a:xfrm>
            <a:off x="5767054" y="730835"/>
            <a:ext cx="31770" cy="0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" name="Conexão reta 127">
            <a:extLst>
              <a:ext uri="{FF2B5EF4-FFF2-40B4-BE49-F238E27FC236}">
                <a16:creationId xmlns:a16="http://schemas.microsoft.com/office/drawing/2014/main" id="{00000000-0008-0000-0300-000080000000}"/>
              </a:ext>
            </a:extLst>
          </xdr:cNvPr>
          <xdr:cNvCxnSpPr>
            <a:cxnSpLocks/>
          </xdr:cNvCxnSpPr>
        </xdr:nvCxnSpPr>
        <xdr:spPr>
          <a:xfrm>
            <a:off x="5799007" y="335109"/>
            <a:ext cx="0" cy="395726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" name="Conexão reta 128">
            <a:extLst>
              <a:ext uri="{FF2B5EF4-FFF2-40B4-BE49-F238E27FC236}">
                <a16:creationId xmlns:a16="http://schemas.microsoft.com/office/drawing/2014/main" id="{00000000-0008-0000-0300-000081000000}"/>
              </a:ext>
            </a:extLst>
          </xdr:cNvPr>
          <xdr:cNvCxnSpPr>
            <a:cxnSpLocks/>
          </xdr:cNvCxnSpPr>
        </xdr:nvCxnSpPr>
        <xdr:spPr>
          <a:xfrm flipH="1">
            <a:off x="4407713" y="350116"/>
            <a:ext cx="1384693" cy="0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0" name="Conexão reta 129">
            <a:extLst>
              <a:ext uri="{FF2B5EF4-FFF2-40B4-BE49-F238E27FC236}">
                <a16:creationId xmlns:a16="http://schemas.microsoft.com/office/drawing/2014/main" id="{00000000-0008-0000-0300-000082000000}"/>
              </a:ext>
            </a:extLst>
          </xdr:cNvPr>
          <xdr:cNvCxnSpPr/>
        </xdr:nvCxnSpPr>
        <xdr:spPr>
          <a:xfrm flipV="1">
            <a:off x="4420876" y="171450"/>
            <a:ext cx="0" cy="180169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Conexão reta 130">
            <a:extLst>
              <a:ext uri="{FF2B5EF4-FFF2-40B4-BE49-F238E27FC236}">
                <a16:creationId xmlns:a16="http://schemas.microsoft.com/office/drawing/2014/main" id="{00000000-0008-0000-0300-000083000000}"/>
              </a:ext>
            </a:extLst>
          </xdr:cNvPr>
          <xdr:cNvCxnSpPr>
            <a:cxnSpLocks/>
          </xdr:cNvCxnSpPr>
        </xdr:nvCxnSpPr>
        <xdr:spPr>
          <a:xfrm>
            <a:off x="4864418" y="421640"/>
            <a:ext cx="37941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2" name="Conexão reta 131">
            <a:extLst>
              <a:ext uri="{FF2B5EF4-FFF2-40B4-BE49-F238E27FC236}">
                <a16:creationId xmlns:a16="http://schemas.microsoft.com/office/drawing/2014/main" id="{00000000-0008-0000-0300-000084000000}"/>
              </a:ext>
            </a:extLst>
          </xdr:cNvPr>
          <xdr:cNvCxnSpPr>
            <a:cxnSpLocks/>
          </xdr:cNvCxnSpPr>
        </xdr:nvCxnSpPr>
        <xdr:spPr>
          <a:xfrm>
            <a:off x="4907314" y="294640"/>
            <a:ext cx="0" cy="12758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3" name="Conexão reta 132">
            <a:extLst>
              <a:ext uri="{FF2B5EF4-FFF2-40B4-BE49-F238E27FC236}">
                <a16:creationId xmlns:a16="http://schemas.microsoft.com/office/drawing/2014/main" id="{00000000-0008-0000-0300-000085000000}"/>
              </a:ext>
            </a:extLst>
          </xdr:cNvPr>
          <xdr:cNvCxnSpPr>
            <a:cxnSpLocks/>
          </xdr:cNvCxnSpPr>
        </xdr:nvCxnSpPr>
        <xdr:spPr>
          <a:xfrm>
            <a:off x="4901351" y="289560"/>
            <a:ext cx="954350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" name="Conexão reta 133">
            <a:extLst>
              <a:ext uri="{FF2B5EF4-FFF2-40B4-BE49-F238E27FC236}">
                <a16:creationId xmlns:a16="http://schemas.microsoft.com/office/drawing/2014/main" id="{00000000-0008-0000-0300-000086000000}"/>
              </a:ext>
            </a:extLst>
          </xdr:cNvPr>
          <xdr:cNvCxnSpPr>
            <a:cxnSpLocks/>
          </xdr:cNvCxnSpPr>
        </xdr:nvCxnSpPr>
        <xdr:spPr>
          <a:xfrm flipH="1">
            <a:off x="5724303" y="284691"/>
            <a:ext cx="3814" cy="20066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35" name="Agrupar 134">
            <a:extLst>
              <a:ext uri="{FF2B5EF4-FFF2-40B4-BE49-F238E27FC236}">
                <a16:creationId xmlns:a16="http://schemas.microsoft.com/office/drawing/2014/main" id="{00000000-0008-0000-0300-000087000000}"/>
              </a:ext>
            </a:extLst>
          </xdr:cNvPr>
          <xdr:cNvGrpSpPr/>
        </xdr:nvGrpSpPr>
        <xdr:grpSpPr>
          <a:xfrm>
            <a:off x="5593434" y="427906"/>
            <a:ext cx="265526" cy="112070"/>
            <a:chOff x="3633737" y="662487"/>
            <a:chExt cx="315682" cy="153888"/>
          </a:xfrm>
        </xdr:grpSpPr>
        <xdr:sp macro="" textlink="">
          <xdr:nvSpPr>
            <xdr:cNvPr id="136" name="Retângulo 135">
              <a:extLst>
                <a:ext uri="{FF2B5EF4-FFF2-40B4-BE49-F238E27FC236}">
                  <a16:creationId xmlns:a16="http://schemas.microsoft.com/office/drawing/2014/main" id="{00000000-0008-0000-0300-000088000000}"/>
                </a:ext>
              </a:extLst>
            </xdr:cNvPr>
            <xdr:cNvSpPr/>
          </xdr:nvSpPr>
          <xdr:spPr>
            <a:xfrm>
              <a:off x="3708081" y="729889"/>
              <a:ext cx="114300" cy="72893"/>
            </a:xfrm>
            <a:prstGeom prst="rect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PT"/>
            </a:p>
          </xdr:txBody>
        </xdr:sp>
        <xdr:sp macro="" textlink="">
          <xdr:nvSpPr>
            <xdr:cNvPr id="137" name="CaixaDeTexto 324">
              <a:extLst>
                <a:ext uri="{FF2B5EF4-FFF2-40B4-BE49-F238E27FC236}">
                  <a16:creationId xmlns:a16="http://schemas.microsoft.com/office/drawing/2014/main" id="{00000000-0008-0000-0300-000089000000}"/>
                </a:ext>
              </a:extLst>
            </xdr:cNvPr>
            <xdr:cNvSpPr txBox="1"/>
          </xdr:nvSpPr>
          <xdr:spPr>
            <a:xfrm>
              <a:off x="3633737" y="662487"/>
              <a:ext cx="315682" cy="15388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400"/>
                <a:t>HC</a:t>
              </a:r>
            </a:p>
          </xdr:txBody>
        </xdr:sp>
      </xdr:grpSp>
    </xdr:grpSp>
    <xdr:clientData/>
  </xdr:twoCellAnchor>
  <xdr:twoCellAnchor>
    <xdr:from>
      <xdr:col>7</xdr:col>
      <xdr:colOff>580293</xdr:colOff>
      <xdr:row>2</xdr:row>
      <xdr:rowOff>121920</xdr:rowOff>
    </xdr:from>
    <xdr:to>
      <xdr:col>12</xdr:col>
      <xdr:colOff>38101</xdr:colOff>
      <xdr:row>13</xdr:row>
      <xdr:rowOff>99060</xdr:rowOff>
    </xdr:to>
    <xdr:grpSp>
      <xdr:nvGrpSpPr>
        <xdr:cNvPr id="212" name="Agrupar 211">
          <a:extLst>
            <a:ext uri="{FF2B5EF4-FFF2-40B4-BE49-F238E27FC236}">
              <a16:creationId xmlns:a16="http://schemas.microsoft.com/office/drawing/2014/main" id="{00000000-0008-0000-0300-0000D4000000}"/>
            </a:ext>
          </a:extLst>
        </xdr:cNvPr>
        <xdr:cNvGrpSpPr/>
      </xdr:nvGrpSpPr>
      <xdr:grpSpPr>
        <a:xfrm>
          <a:off x="4847493" y="487680"/>
          <a:ext cx="2505808" cy="1988820"/>
          <a:chOff x="359159" y="4480494"/>
          <a:chExt cx="3122227" cy="1853871"/>
        </a:xfrm>
      </xdr:grpSpPr>
      <xdr:grpSp>
        <xdr:nvGrpSpPr>
          <xdr:cNvPr id="213" name="Agrupar 212">
            <a:extLst>
              <a:ext uri="{FF2B5EF4-FFF2-40B4-BE49-F238E27FC236}">
                <a16:creationId xmlns:a16="http://schemas.microsoft.com/office/drawing/2014/main" id="{00000000-0008-0000-0300-0000D5000000}"/>
              </a:ext>
            </a:extLst>
          </xdr:cNvPr>
          <xdr:cNvGrpSpPr/>
        </xdr:nvGrpSpPr>
        <xdr:grpSpPr>
          <a:xfrm>
            <a:off x="359159" y="5203920"/>
            <a:ext cx="1981531" cy="225138"/>
            <a:chOff x="0" y="1028635"/>
            <a:chExt cx="2017889" cy="271494"/>
          </a:xfrm>
        </xdr:grpSpPr>
        <xdr:grpSp>
          <xdr:nvGrpSpPr>
            <xdr:cNvPr id="240" name="Agrupar 239">
              <a:extLst>
                <a:ext uri="{FF2B5EF4-FFF2-40B4-BE49-F238E27FC236}">
                  <a16:creationId xmlns:a16="http://schemas.microsoft.com/office/drawing/2014/main" id="{00000000-0008-0000-0300-0000F0000000}"/>
                </a:ext>
              </a:extLst>
            </xdr:cNvPr>
            <xdr:cNvGrpSpPr/>
          </xdr:nvGrpSpPr>
          <xdr:grpSpPr>
            <a:xfrm>
              <a:off x="0" y="1053908"/>
              <a:ext cx="544632" cy="246221"/>
              <a:chOff x="0" y="1053908"/>
              <a:chExt cx="495301" cy="280567"/>
            </a:xfrm>
          </xdr:grpSpPr>
          <xdr:sp macro="" textlink="">
            <xdr:nvSpPr>
              <xdr:cNvPr id="242" name="Retângulo 241">
                <a:extLst>
                  <a:ext uri="{FF2B5EF4-FFF2-40B4-BE49-F238E27FC236}">
                    <a16:creationId xmlns:a16="http://schemas.microsoft.com/office/drawing/2014/main" id="{00000000-0008-0000-0300-0000F2000000}"/>
                  </a:ext>
                </a:extLst>
              </xdr:cNvPr>
              <xdr:cNvSpPr/>
            </xdr:nvSpPr>
            <xdr:spPr>
              <a:xfrm>
                <a:off x="23484" y="1099107"/>
                <a:ext cx="239996" cy="190186"/>
              </a:xfrm>
              <a:prstGeom prst="rect">
                <a:avLst/>
              </a:prstGeom>
              <a:solidFill>
                <a:srgbClr val="BD2EDA"/>
              </a:solidFill>
              <a:ln>
                <a:solidFill>
                  <a:srgbClr val="BD2EDA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pt-PT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pt-PT"/>
              </a:p>
            </xdr:txBody>
          </xdr:sp>
          <xdr:sp macro="" textlink="">
            <xdr:nvSpPr>
              <xdr:cNvPr id="243" name="CaixaDeTexto 182">
                <a:extLst>
                  <a:ext uri="{FF2B5EF4-FFF2-40B4-BE49-F238E27FC236}">
                    <a16:creationId xmlns:a16="http://schemas.microsoft.com/office/drawing/2014/main" id="{00000000-0008-0000-0300-0000F3000000}"/>
                  </a:ext>
                </a:extLst>
              </xdr:cNvPr>
              <xdr:cNvSpPr txBox="1"/>
            </xdr:nvSpPr>
            <xdr:spPr>
              <a:xfrm>
                <a:off x="0" y="1053908"/>
                <a:ext cx="495301" cy="280567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pt-PT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pt-PT" sz="1000"/>
                  <a:t>CP</a:t>
                </a:r>
              </a:p>
            </xdr:txBody>
          </xdr:sp>
        </xdr:grpSp>
        <xdr:sp macro="" textlink="">
          <xdr:nvSpPr>
            <xdr:cNvPr id="241" name="CaixaDeTexto 185">
              <a:extLst>
                <a:ext uri="{FF2B5EF4-FFF2-40B4-BE49-F238E27FC236}">
                  <a16:creationId xmlns:a16="http://schemas.microsoft.com/office/drawing/2014/main" id="{00000000-0008-0000-0300-0000F1000000}"/>
                </a:ext>
              </a:extLst>
            </xdr:cNvPr>
            <xdr:cNvSpPr txBox="1"/>
          </xdr:nvSpPr>
          <xdr:spPr>
            <a:xfrm>
              <a:off x="348298" y="1028635"/>
              <a:ext cx="1669591" cy="26862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900"/>
                <a:t>Consolidation Point</a:t>
              </a:r>
            </a:p>
          </xdr:txBody>
        </xdr:sp>
      </xdr:grpSp>
      <xdr:grpSp>
        <xdr:nvGrpSpPr>
          <xdr:cNvPr id="214" name="Agrupar 213">
            <a:extLst>
              <a:ext uri="{FF2B5EF4-FFF2-40B4-BE49-F238E27FC236}">
                <a16:creationId xmlns:a16="http://schemas.microsoft.com/office/drawing/2014/main" id="{00000000-0008-0000-0300-0000D6000000}"/>
              </a:ext>
            </a:extLst>
          </xdr:cNvPr>
          <xdr:cNvGrpSpPr/>
        </xdr:nvGrpSpPr>
        <xdr:grpSpPr>
          <a:xfrm>
            <a:off x="359808" y="4480494"/>
            <a:ext cx="3121578" cy="222759"/>
            <a:chOff x="662" y="0"/>
            <a:chExt cx="3178853" cy="268625"/>
          </a:xfrm>
        </xdr:grpSpPr>
        <xdr:grpSp>
          <xdr:nvGrpSpPr>
            <xdr:cNvPr id="236" name="Agrupar 235">
              <a:extLst>
                <a:ext uri="{FF2B5EF4-FFF2-40B4-BE49-F238E27FC236}">
                  <a16:creationId xmlns:a16="http://schemas.microsoft.com/office/drawing/2014/main" id="{00000000-0008-0000-0300-0000EC000000}"/>
                </a:ext>
              </a:extLst>
            </xdr:cNvPr>
            <xdr:cNvGrpSpPr/>
          </xdr:nvGrpSpPr>
          <xdr:grpSpPr>
            <a:xfrm>
              <a:off x="662" y="10754"/>
              <a:ext cx="701040" cy="246221"/>
              <a:chOff x="662" y="10754"/>
              <a:chExt cx="701040" cy="246221"/>
            </a:xfrm>
          </xdr:grpSpPr>
          <xdr:sp macro="" textlink="">
            <xdr:nvSpPr>
              <xdr:cNvPr id="238" name="Retângulo 237">
                <a:extLst>
                  <a:ext uri="{FF2B5EF4-FFF2-40B4-BE49-F238E27FC236}">
                    <a16:creationId xmlns:a16="http://schemas.microsoft.com/office/drawing/2014/main" id="{00000000-0008-0000-0300-0000EE000000}"/>
                  </a:ext>
                </a:extLst>
              </xdr:cNvPr>
              <xdr:cNvSpPr/>
            </xdr:nvSpPr>
            <xdr:spPr>
              <a:xfrm>
                <a:off x="31136" y="53855"/>
                <a:ext cx="263899" cy="160020"/>
              </a:xfrm>
              <a:prstGeom prst="rect">
                <a:avLst/>
              </a:prstGeom>
              <a:solidFill>
                <a:srgbClr val="FF0000"/>
              </a:solidFill>
              <a:ln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pt-PT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pt-PT"/>
              </a:p>
            </xdr:txBody>
          </xdr:sp>
          <xdr:sp macro="" textlink="">
            <xdr:nvSpPr>
              <xdr:cNvPr id="239" name="CaixaDeTexto 193">
                <a:extLst>
                  <a:ext uri="{FF2B5EF4-FFF2-40B4-BE49-F238E27FC236}">
                    <a16:creationId xmlns:a16="http://schemas.microsoft.com/office/drawing/2014/main" id="{00000000-0008-0000-0300-0000EF000000}"/>
                  </a:ext>
                </a:extLst>
              </xdr:cNvPr>
              <xdr:cNvSpPr txBox="1"/>
            </xdr:nvSpPr>
            <xdr:spPr>
              <a:xfrm>
                <a:off x="662" y="10754"/>
                <a:ext cx="701040" cy="246221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pt-PT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pt-PT" sz="1000"/>
                  <a:t>HC</a:t>
                </a:r>
              </a:p>
            </xdr:txBody>
          </xdr:sp>
        </xdr:grpSp>
        <xdr:sp macro="" textlink="">
          <xdr:nvSpPr>
            <xdr:cNvPr id="237" name="CaixaDeTexto 210">
              <a:extLst>
                <a:ext uri="{FF2B5EF4-FFF2-40B4-BE49-F238E27FC236}">
                  <a16:creationId xmlns:a16="http://schemas.microsoft.com/office/drawing/2014/main" id="{00000000-0008-0000-0300-0000ED000000}"/>
                </a:ext>
              </a:extLst>
            </xdr:cNvPr>
            <xdr:cNvSpPr txBox="1"/>
          </xdr:nvSpPr>
          <xdr:spPr>
            <a:xfrm>
              <a:off x="342199" y="0"/>
              <a:ext cx="2837316" cy="26862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900"/>
                <a:t>Horizontal Cross-Connect</a:t>
              </a:r>
            </a:p>
          </xdr:txBody>
        </xdr:sp>
      </xdr:grpSp>
      <xdr:grpSp>
        <xdr:nvGrpSpPr>
          <xdr:cNvPr id="215" name="Agrupar 214">
            <a:extLst>
              <a:ext uri="{FF2B5EF4-FFF2-40B4-BE49-F238E27FC236}">
                <a16:creationId xmlns:a16="http://schemas.microsoft.com/office/drawing/2014/main" id="{00000000-0008-0000-0300-0000D7000000}"/>
              </a:ext>
            </a:extLst>
          </xdr:cNvPr>
          <xdr:cNvGrpSpPr/>
        </xdr:nvGrpSpPr>
        <xdr:grpSpPr>
          <a:xfrm>
            <a:off x="359159" y="4928599"/>
            <a:ext cx="2480672" cy="251028"/>
            <a:chOff x="1" y="540372"/>
            <a:chExt cx="2526187" cy="302716"/>
          </a:xfrm>
        </xdr:grpSpPr>
        <xdr:grpSp>
          <xdr:nvGrpSpPr>
            <xdr:cNvPr id="232" name="Agrupar 231">
              <a:extLst>
                <a:ext uri="{FF2B5EF4-FFF2-40B4-BE49-F238E27FC236}">
                  <a16:creationId xmlns:a16="http://schemas.microsoft.com/office/drawing/2014/main" id="{00000000-0008-0000-0300-0000E8000000}"/>
                </a:ext>
              </a:extLst>
            </xdr:cNvPr>
            <xdr:cNvGrpSpPr/>
          </xdr:nvGrpSpPr>
          <xdr:grpSpPr>
            <a:xfrm>
              <a:off x="1" y="540372"/>
              <a:ext cx="1079861" cy="246221"/>
              <a:chOff x="1" y="540372"/>
              <a:chExt cx="617220" cy="246221"/>
            </a:xfrm>
          </xdr:grpSpPr>
          <xdr:sp macro="" textlink="">
            <xdr:nvSpPr>
              <xdr:cNvPr id="234" name="Retângulo 233">
                <a:extLst>
                  <a:ext uri="{FF2B5EF4-FFF2-40B4-BE49-F238E27FC236}">
                    <a16:creationId xmlns:a16="http://schemas.microsoft.com/office/drawing/2014/main" id="{00000000-0008-0000-0300-0000EA000000}"/>
                  </a:ext>
                </a:extLst>
              </xdr:cNvPr>
              <xdr:cNvSpPr/>
            </xdr:nvSpPr>
            <xdr:spPr>
              <a:xfrm>
                <a:off x="13067" y="588553"/>
                <a:ext cx="191149" cy="178041"/>
              </a:xfrm>
              <a:prstGeom prst="rect">
                <a:avLst/>
              </a:prstGeom>
              <a:solidFill>
                <a:srgbClr val="92D050"/>
              </a:solidFill>
              <a:ln>
                <a:solidFill>
                  <a:srgbClr val="92D05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pt-PT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pt-PT"/>
              </a:p>
            </xdr:txBody>
          </xdr:sp>
          <xdr:sp macro="" textlink="">
            <xdr:nvSpPr>
              <xdr:cNvPr id="235" name="CaixaDeTexto 221">
                <a:extLst>
                  <a:ext uri="{FF2B5EF4-FFF2-40B4-BE49-F238E27FC236}">
                    <a16:creationId xmlns:a16="http://schemas.microsoft.com/office/drawing/2014/main" id="{00000000-0008-0000-0300-0000EB000000}"/>
                  </a:ext>
                </a:extLst>
              </xdr:cNvPr>
              <xdr:cNvSpPr txBox="1"/>
            </xdr:nvSpPr>
            <xdr:spPr>
              <a:xfrm>
                <a:off x="1" y="540372"/>
                <a:ext cx="617220" cy="246221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pt-PT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pt-PT" sz="1000"/>
                  <a:t>MC</a:t>
                </a:r>
              </a:p>
            </xdr:txBody>
          </xdr:sp>
        </xdr:grpSp>
        <xdr:sp macro="" textlink="">
          <xdr:nvSpPr>
            <xdr:cNvPr id="233" name="CaixaDeTexto 226">
              <a:extLst>
                <a:ext uri="{FF2B5EF4-FFF2-40B4-BE49-F238E27FC236}">
                  <a16:creationId xmlns:a16="http://schemas.microsoft.com/office/drawing/2014/main" id="{00000000-0008-0000-0300-0000E9000000}"/>
                </a:ext>
              </a:extLst>
            </xdr:cNvPr>
            <xdr:cNvSpPr txBox="1"/>
          </xdr:nvSpPr>
          <xdr:spPr>
            <a:xfrm>
              <a:off x="406729" y="574461"/>
              <a:ext cx="2119459" cy="26862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900"/>
                <a:t>Main Cross-Connect</a:t>
              </a:r>
            </a:p>
          </xdr:txBody>
        </xdr:sp>
      </xdr:grpSp>
      <xdr:grpSp>
        <xdr:nvGrpSpPr>
          <xdr:cNvPr id="216" name="Agrupar 215">
            <a:extLst>
              <a:ext uri="{FF2B5EF4-FFF2-40B4-BE49-F238E27FC236}">
                <a16:creationId xmlns:a16="http://schemas.microsoft.com/office/drawing/2014/main" id="{00000000-0008-0000-0300-0000D8000000}"/>
              </a:ext>
            </a:extLst>
          </xdr:cNvPr>
          <xdr:cNvGrpSpPr/>
        </xdr:nvGrpSpPr>
        <xdr:grpSpPr>
          <a:xfrm>
            <a:off x="369910" y="4707129"/>
            <a:ext cx="2207966" cy="224939"/>
            <a:chOff x="10949" y="273298"/>
            <a:chExt cx="2248480" cy="271253"/>
          </a:xfrm>
        </xdr:grpSpPr>
        <xdr:sp macro="" textlink="">
          <xdr:nvSpPr>
            <xdr:cNvPr id="229" name="Retângulo 228">
              <a:extLst>
                <a:ext uri="{FF2B5EF4-FFF2-40B4-BE49-F238E27FC236}">
                  <a16:creationId xmlns:a16="http://schemas.microsoft.com/office/drawing/2014/main" id="{00000000-0008-0000-0300-0000E5000000}"/>
                </a:ext>
              </a:extLst>
            </xdr:cNvPr>
            <xdr:cNvSpPr/>
          </xdr:nvSpPr>
          <xdr:spPr>
            <a:xfrm>
              <a:off x="31706" y="351409"/>
              <a:ext cx="263899" cy="135884"/>
            </a:xfrm>
            <a:prstGeom prst="rect">
              <a:avLst/>
            </a:prstGeom>
            <a:solidFill>
              <a:srgbClr val="FA9496"/>
            </a:solidFill>
            <a:ln>
              <a:solidFill>
                <a:srgbClr val="FA949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PT"/>
            </a:p>
          </xdr:txBody>
        </xdr:sp>
        <xdr:sp macro="" textlink="">
          <xdr:nvSpPr>
            <xdr:cNvPr id="230" name="CaixaDeTexto 224">
              <a:extLst>
                <a:ext uri="{FF2B5EF4-FFF2-40B4-BE49-F238E27FC236}">
                  <a16:creationId xmlns:a16="http://schemas.microsoft.com/office/drawing/2014/main" id="{00000000-0008-0000-0300-0000E6000000}"/>
                </a:ext>
              </a:extLst>
            </xdr:cNvPr>
            <xdr:cNvSpPr txBox="1"/>
          </xdr:nvSpPr>
          <xdr:spPr>
            <a:xfrm>
              <a:off x="10949" y="298330"/>
              <a:ext cx="569311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1000"/>
                <a:t>IC</a:t>
              </a:r>
            </a:p>
          </xdr:txBody>
        </xdr:sp>
        <xdr:sp macro="" textlink="">
          <xdr:nvSpPr>
            <xdr:cNvPr id="231" name="CaixaDeTexto 234">
              <a:extLst>
                <a:ext uri="{FF2B5EF4-FFF2-40B4-BE49-F238E27FC236}">
                  <a16:creationId xmlns:a16="http://schemas.microsoft.com/office/drawing/2014/main" id="{00000000-0008-0000-0300-0000E7000000}"/>
                </a:ext>
              </a:extLst>
            </xdr:cNvPr>
            <xdr:cNvSpPr txBox="1"/>
          </xdr:nvSpPr>
          <xdr:spPr>
            <a:xfrm>
              <a:off x="362725" y="273298"/>
              <a:ext cx="1896704" cy="268624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900"/>
                <a:t>Intermediate Cross-Connect</a:t>
              </a:r>
            </a:p>
          </xdr:txBody>
        </xdr:sp>
      </xdr:grpSp>
      <xdr:grpSp>
        <xdr:nvGrpSpPr>
          <xdr:cNvPr id="217" name="Agrupar 216">
            <a:extLst>
              <a:ext uri="{FF2B5EF4-FFF2-40B4-BE49-F238E27FC236}">
                <a16:creationId xmlns:a16="http://schemas.microsoft.com/office/drawing/2014/main" id="{00000000-0008-0000-0300-0000D9000000}"/>
              </a:ext>
            </a:extLst>
          </xdr:cNvPr>
          <xdr:cNvGrpSpPr/>
        </xdr:nvGrpSpPr>
        <xdr:grpSpPr>
          <a:xfrm>
            <a:off x="375275" y="5457900"/>
            <a:ext cx="2746004" cy="222759"/>
            <a:chOff x="37546" y="1088771"/>
            <a:chExt cx="2796386" cy="222759"/>
          </a:xfrm>
        </xdr:grpSpPr>
        <xdr:cxnSp macro="">
          <xdr:nvCxnSpPr>
            <xdr:cNvPr id="227" name="Conexão reta 226">
              <a:extLst>
                <a:ext uri="{FF2B5EF4-FFF2-40B4-BE49-F238E27FC236}">
                  <a16:creationId xmlns:a16="http://schemas.microsoft.com/office/drawing/2014/main" id="{00000000-0008-0000-0300-0000E3000000}"/>
                </a:ext>
              </a:extLst>
            </xdr:cNvPr>
            <xdr:cNvCxnSpPr/>
          </xdr:nvCxnSpPr>
          <xdr:spPr>
            <a:xfrm>
              <a:off x="37546" y="1229011"/>
              <a:ext cx="406729" cy="0"/>
            </a:xfrm>
            <a:prstGeom prst="line">
              <a:avLst/>
            </a:prstGeom>
            <a:ln w="9525">
              <a:solidFill>
                <a:srgbClr val="FC0CE5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8" name="CaixaDeTexto 244">
              <a:extLst>
                <a:ext uri="{FF2B5EF4-FFF2-40B4-BE49-F238E27FC236}">
                  <a16:creationId xmlns:a16="http://schemas.microsoft.com/office/drawing/2014/main" id="{00000000-0008-0000-0300-0000E4000000}"/>
                </a:ext>
              </a:extLst>
            </xdr:cNvPr>
            <xdr:cNvSpPr txBox="1"/>
          </xdr:nvSpPr>
          <xdr:spPr>
            <a:xfrm>
              <a:off x="454349" y="1088771"/>
              <a:ext cx="2379583" cy="22275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900"/>
                <a:t>Cat6 Copper Cables</a:t>
              </a:r>
            </a:p>
          </xdr:txBody>
        </xdr:sp>
      </xdr:grpSp>
      <xdr:grpSp>
        <xdr:nvGrpSpPr>
          <xdr:cNvPr id="218" name="Agrupar 217">
            <a:extLst>
              <a:ext uri="{FF2B5EF4-FFF2-40B4-BE49-F238E27FC236}">
                <a16:creationId xmlns:a16="http://schemas.microsoft.com/office/drawing/2014/main" id="{00000000-0008-0000-0300-0000DA000000}"/>
              </a:ext>
            </a:extLst>
          </xdr:cNvPr>
          <xdr:cNvGrpSpPr/>
        </xdr:nvGrpSpPr>
        <xdr:grpSpPr>
          <a:xfrm>
            <a:off x="381277" y="5697709"/>
            <a:ext cx="2734975" cy="222759"/>
            <a:chOff x="22887" y="1315990"/>
            <a:chExt cx="2785155" cy="222759"/>
          </a:xfrm>
        </xdr:grpSpPr>
        <xdr:cxnSp macro="">
          <xdr:nvCxnSpPr>
            <xdr:cNvPr id="225" name="Conexão reta 224">
              <a:extLst>
                <a:ext uri="{FF2B5EF4-FFF2-40B4-BE49-F238E27FC236}">
                  <a16:creationId xmlns:a16="http://schemas.microsoft.com/office/drawing/2014/main" id="{00000000-0008-0000-0300-0000E1000000}"/>
                </a:ext>
              </a:extLst>
            </xdr:cNvPr>
            <xdr:cNvCxnSpPr/>
          </xdr:nvCxnSpPr>
          <xdr:spPr>
            <a:xfrm>
              <a:off x="22887" y="1443443"/>
              <a:ext cx="406729" cy="0"/>
            </a:xfrm>
            <a:prstGeom prst="line">
              <a:avLst/>
            </a:prstGeom>
            <a:ln w="9525">
              <a:solidFill>
                <a:srgbClr val="FFFF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6" name="CaixaDeTexto 245">
              <a:extLst>
                <a:ext uri="{FF2B5EF4-FFF2-40B4-BE49-F238E27FC236}">
                  <a16:creationId xmlns:a16="http://schemas.microsoft.com/office/drawing/2014/main" id="{00000000-0008-0000-0300-0000E2000000}"/>
                </a:ext>
              </a:extLst>
            </xdr:cNvPr>
            <xdr:cNvSpPr txBox="1"/>
          </xdr:nvSpPr>
          <xdr:spPr>
            <a:xfrm>
              <a:off x="427542" y="1315990"/>
              <a:ext cx="2380500" cy="22275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900"/>
                <a:t>Multimode Optical Fibre </a:t>
              </a:r>
            </a:p>
          </xdr:txBody>
        </xdr:sp>
      </xdr:grpSp>
      <xdr:grpSp>
        <xdr:nvGrpSpPr>
          <xdr:cNvPr id="219" name="Agrupar 218">
            <a:extLst>
              <a:ext uri="{FF2B5EF4-FFF2-40B4-BE49-F238E27FC236}">
                <a16:creationId xmlns:a16="http://schemas.microsoft.com/office/drawing/2014/main" id="{00000000-0008-0000-0300-0000DB000000}"/>
              </a:ext>
            </a:extLst>
          </xdr:cNvPr>
          <xdr:cNvGrpSpPr/>
        </xdr:nvGrpSpPr>
        <xdr:grpSpPr>
          <a:xfrm>
            <a:off x="393330" y="5901562"/>
            <a:ext cx="2262170" cy="222759"/>
            <a:chOff x="35673" y="1512283"/>
            <a:chExt cx="2303676" cy="222759"/>
          </a:xfrm>
        </xdr:grpSpPr>
        <xdr:cxnSp macro="">
          <xdr:nvCxnSpPr>
            <xdr:cNvPr id="223" name="Conexão reta 222">
              <a:extLst>
                <a:ext uri="{FF2B5EF4-FFF2-40B4-BE49-F238E27FC236}">
                  <a16:creationId xmlns:a16="http://schemas.microsoft.com/office/drawing/2014/main" id="{00000000-0008-0000-0300-0000DF000000}"/>
                </a:ext>
              </a:extLst>
            </xdr:cNvPr>
            <xdr:cNvCxnSpPr/>
          </xdr:nvCxnSpPr>
          <xdr:spPr>
            <a:xfrm>
              <a:off x="35673" y="1641104"/>
              <a:ext cx="406729" cy="0"/>
            </a:xfrm>
            <a:prstGeom prst="line">
              <a:avLst/>
            </a:prstGeom>
            <a:ln w="952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4" name="CaixaDeTexto 249">
              <a:extLst>
                <a:ext uri="{FF2B5EF4-FFF2-40B4-BE49-F238E27FC236}">
                  <a16:creationId xmlns:a16="http://schemas.microsoft.com/office/drawing/2014/main" id="{00000000-0008-0000-0300-0000E0000000}"/>
                </a:ext>
              </a:extLst>
            </xdr:cNvPr>
            <xdr:cNvSpPr txBox="1"/>
          </xdr:nvSpPr>
          <xdr:spPr>
            <a:xfrm>
              <a:off x="448371" y="1512283"/>
              <a:ext cx="1890978" cy="22275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900"/>
                <a:t>Monomode Optical Fibre</a:t>
              </a:r>
            </a:p>
          </xdr:txBody>
        </xdr:sp>
      </xdr:grpSp>
      <xdr:grpSp>
        <xdr:nvGrpSpPr>
          <xdr:cNvPr id="220" name="Agrupar 219">
            <a:extLst>
              <a:ext uri="{FF2B5EF4-FFF2-40B4-BE49-F238E27FC236}">
                <a16:creationId xmlns:a16="http://schemas.microsoft.com/office/drawing/2014/main" id="{00000000-0008-0000-0300-0000DC000000}"/>
              </a:ext>
            </a:extLst>
          </xdr:cNvPr>
          <xdr:cNvGrpSpPr/>
        </xdr:nvGrpSpPr>
        <xdr:grpSpPr>
          <a:xfrm>
            <a:off x="410205" y="6111606"/>
            <a:ext cx="1245526" cy="222759"/>
            <a:chOff x="720712" y="5408966"/>
            <a:chExt cx="1245526" cy="222759"/>
          </a:xfrm>
        </xdr:grpSpPr>
        <xdr:sp macro="" textlink="">
          <xdr:nvSpPr>
            <xdr:cNvPr id="221" name="Retângulo 220">
              <a:extLst>
                <a:ext uri="{FF2B5EF4-FFF2-40B4-BE49-F238E27FC236}">
                  <a16:creationId xmlns:a16="http://schemas.microsoft.com/office/drawing/2014/main" id="{00000000-0008-0000-0300-0000DD000000}"/>
                </a:ext>
              </a:extLst>
            </xdr:cNvPr>
            <xdr:cNvSpPr/>
          </xdr:nvSpPr>
          <xdr:spPr>
            <a:xfrm>
              <a:off x="720712" y="5496063"/>
              <a:ext cx="106839" cy="69125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PT"/>
            </a:p>
          </xdr:txBody>
        </xdr:sp>
        <xdr:sp macro="" textlink="">
          <xdr:nvSpPr>
            <xdr:cNvPr id="222" name="CaixaDeTexto 215">
              <a:extLst>
                <a:ext uri="{FF2B5EF4-FFF2-40B4-BE49-F238E27FC236}">
                  <a16:creationId xmlns:a16="http://schemas.microsoft.com/office/drawing/2014/main" id="{00000000-0008-0000-0300-0000DE000000}"/>
                </a:ext>
              </a:extLst>
            </xdr:cNvPr>
            <xdr:cNvSpPr txBox="1"/>
          </xdr:nvSpPr>
          <xdr:spPr>
            <a:xfrm>
              <a:off x="1119577" y="5408966"/>
              <a:ext cx="846661" cy="22275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900"/>
                <a:t>Outlet</a:t>
              </a:r>
            </a:p>
          </xdr:txBody>
        </xdr:sp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365760</xdr:colOff>
      <xdr:row>2</xdr:row>
      <xdr:rowOff>0</xdr:rowOff>
    </xdr:from>
    <xdr:to>
      <xdr:col>8</xdr:col>
      <xdr:colOff>482282</xdr:colOff>
      <xdr:row>37</xdr:row>
      <xdr:rowOff>152400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365760" y="365760"/>
          <a:ext cx="4993322" cy="6553200"/>
          <a:chOff x="3164840" y="152400"/>
          <a:chExt cx="4993322" cy="6553200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33837" y="152400"/>
            <a:ext cx="4124325" cy="6553200"/>
          </a:xfrm>
          <a:prstGeom prst="rect">
            <a:avLst/>
          </a:prstGeom>
        </xdr:spPr>
      </xdr:pic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4982753" y="482727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5244777" y="482727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5510194" y="482727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/>
        </xdr:nvSpPr>
        <xdr:spPr>
          <a:xfrm>
            <a:off x="5766218" y="482727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/>
        </xdr:nvSpPr>
        <xdr:spPr>
          <a:xfrm>
            <a:off x="6038030" y="482727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4987047" y="875729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5256871" y="878077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5504388" y="884553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/>
        </xdr:nvSpPr>
        <xdr:spPr>
          <a:xfrm>
            <a:off x="5760419" y="887984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/>
        </xdr:nvSpPr>
        <xdr:spPr>
          <a:xfrm>
            <a:off x="6432077" y="482727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/>
        </xdr:nvSpPr>
        <xdr:spPr>
          <a:xfrm>
            <a:off x="6688109" y="482727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/>
        </xdr:nvSpPr>
        <xdr:spPr>
          <a:xfrm>
            <a:off x="6944141" y="482727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/>
        </xdr:nvSpPr>
        <xdr:spPr>
          <a:xfrm>
            <a:off x="7200173" y="482727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7" name="Retângulo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/>
        </xdr:nvSpPr>
        <xdr:spPr>
          <a:xfrm>
            <a:off x="7456205" y="482727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/>
        </xdr:nvSpPr>
        <xdr:spPr>
          <a:xfrm>
            <a:off x="7712237" y="482727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SpPr/>
        </xdr:nvSpPr>
        <xdr:spPr>
          <a:xfrm>
            <a:off x="6427030" y="884553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6683046" y="89144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/>
        </xdr:nvSpPr>
        <xdr:spPr>
          <a:xfrm>
            <a:off x="6944141" y="888873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/>
        </xdr:nvSpPr>
        <xdr:spPr>
          <a:xfrm>
            <a:off x="7203674" y="889572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/>
        </xdr:nvSpPr>
        <xdr:spPr>
          <a:xfrm>
            <a:off x="7456205" y="89144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/>
        </xdr:nvSpPr>
        <xdr:spPr>
          <a:xfrm>
            <a:off x="7712236" y="884553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5" name="Retângulo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/>
        </xdr:nvSpPr>
        <xdr:spPr>
          <a:xfrm>
            <a:off x="6038030" y="887984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4743485" y="33915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7200173" y="5120258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28" name="Retângulo 27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SpPr/>
        </xdr:nvSpPr>
        <xdr:spPr>
          <a:xfrm>
            <a:off x="7598308" y="5616577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cxnSp macro="">
        <xdr:nvCxnSpPr>
          <xdr:cNvPr id="29" name="Conexão reta 28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CxnSpPr>
            <a:cxnSpLocks/>
          </xdr:cNvCxnSpPr>
        </xdr:nvCxnSpPr>
        <xdr:spPr>
          <a:xfrm>
            <a:off x="4784474" y="2306991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Conexão reta 29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CxnSpPr>
            <a:cxnSpLocks/>
          </xdr:cNvCxnSpPr>
        </xdr:nvCxnSpPr>
        <xdr:spPr>
          <a:xfrm>
            <a:off x="4784474" y="2605405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Conexão reta 30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CxnSpPr>
            <a:cxnSpLocks/>
          </xdr:cNvCxnSpPr>
        </xdr:nvCxnSpPr>
        <xdr:spPr>
          <a:xfrm>
            <a:off x="5368062" y="2312035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Conexão reta 31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CxnSpPr>
            <a:cxnSpLocks/>
          </xdr:cNvCxnSpPr>
        </xdr:nvCxnSpPr>
        <xdr:spPr>
          <a:xfrm>
            <a:off x="5375760" y="2603754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Conexão reta 32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CxnSpPr>
            <a:cxnSpLocks/>
          </xdr:cNvCxnSpPr>
        </xdr:nvCxnSpPr>
        <xdr:spPr>
          <a:xfrm>
            <a:off x="5930522" y="2312035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Conexão reta 33">
            <a:extLst>
              <a:ext uri="{FF2B5EF4-FFF2-40B4-BE49-F238E27FC236}">
                <a16:creationId xmlns:a16="http://schemas.microsoft.com/office/drawing/2014/main" id="{00000000-0008-0000-0400-000022000000}"/>
              </a:ext>
            </a:extLst>
          </xdr:cNvPr>
          <xdr:cNvCxnSpPr>
            <a:cxnSpLocks/>
          </xdr:cNvCxnSpPr>
        </xdr:nvCxnSpPr>
        <xdr:spPr>
          <a:xfrm>
            <a:off x="5930522" y="2603754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Conexão reta 34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CxnSpPr>
            <a:cxnSpLocks/>
          </xdr:cNvCxnSpPr>
        </xdr:nvCxnSpPr>
        <xdr:spPr>
          <a:xfrm>
            <a:off x="6528727" y="2319782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Conexão reta 35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CxnSpPr>
            <a:cxnSpLocks/>
          </xdr:cNvCxnSpPr>
        </xdr:nvCxnSpPr>
        <xdr:spPr>
          <a:xfrm>
            <a:off x="6512956" y="2605405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Conexão reta 36">
            <a:extLst>
              <a:ext uri="{FF2B5EF4-FFF2-40B4-BE49-F238E27FC236}">
                <a16:creationId xmlns:a16="http://schemas.microsoft.com/office/drawing/2014/main" id="{00000000-0008-0000-0400-000025000000}"/>
              </a:ext>
            </a:extLst>
          </xdr:cNvPr>
          <xdr:cNvCxnSpPr>
            <a:cxnSpLocks/>
          </xdr:cNvCxnSpPr>
        </xdr:nvCxnSpPr>
        <xdr:spPr>
          <a:xfrm>
            <a:off x="7073988" y="2319782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Conexão reta 37">
            <a:extLst>
              <a:ext uri="{FF2B5EF4-FFF2-40B4-BE49-F238E27FC236}">
                <a16:creationId xmlns:a16="http://schemas.microsoft.com/office/drawing/2014/main" id="{00000000-0008-0000-0400-000026000000}"/>
              </a:ext>
            </a:extLst>
          </xdr:cNvPr>
          <xdr:cNvCxnSpPr>
            <a:cxnSpLocks/>
          </xdr:cNvCxnSpPr>
        </xdr:nvCxnSpPr>
        <xdr:spPr>
          <a:xfrm>
            <a:off x="7093670" y="2604516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Conexão reta 38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CxnSpPr>
            <a:cxnSpLocks/>
          </xdr:cNvCxnSpPr>
        </xdr:nvCxnSpPr>
        <xdr:spPr>
          <a:xfrm>
            <a:off x="4822415" y="3429000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Conexão reta 39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CxnSpPr>
            <a:cxnSpLocks/>
          </xdr:cNvCxnSpPr>
        </xdr:nvCxnSpPr>
        <xdr:spPr>
          <a:xfrm>
            <a:off x="4797872" y="3721862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Conexão reta 40">
            <a:extLst>
              <a:ext uri="{FF2B5EF4-FFF2-40B4-BE49-F238E27FC236}">
                <a16:creationId xmlns:a16="http://schemas.microsoft.com/office/drawing/2014/main" id="{00000000-0008-0000-0400-000029000000}"/>
              </a:ext>
            </a:extLst>
          </xdr:cNvPr>
          <xdr:cNvCxnSpPr>
            <a:cxnSpLocks/>
          </xdr:cNvCxnSpPr>
        </xdr:nvCxnSpPr>
        <xdr:spPr>
          <a:xfrm>
            <a:off x="5357928" y="3243834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Conexão reta 41">
            <a:extLst>
              <a:ext uri="{FF2B5EF4-FFF2-40B4-BE49-F238E27FC236}">
                <a16:creationId xmlns:a16="http://schemas.microsoft.com/office/drawing/2014/main" id="{00000000-0008-0000-0400-00002A000000}"/>
              </a:ext>
            </a:extLst>
          </xdr:cNvPr>
          <xdr:cNvCxnSpPr>
            <a:cxnSpLocks/>
          </xdr:cNvCxnSpPr>
        </xdr:nvCxnSpPr>
        <xdr:spPr>
          <a:xfrm>
            <a:off x="5357928" y="3660775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Conexão reta 42">
            <a:extLst>
              <a:ext uri="{FF2B5EF4-FFF2-40B4-BE49-F238E27FC236}">
                <a16:creationId xmlns:a16="http://schemas.microsoft.com/office/drawing/2014/main" id="{00000000-0008-0000-0400-00002B000000}"/>
              </a:ext>
            </a:extLst>
          </xdr:cNvPr>
          <xdr:cNvCxnSpPr>
            <a:cxnSpLocks/>
          </xdr:cNvCxnSpPr>
        </xdr:nvCxnSpPr>
        <xdr:spPr>
          <a:xfrm>
            <a:off x="5907876" y="3232531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Conexão reta 43">
            <a:extLst>
              <a:ext uri="{FF2B5EF4-FFF2-40B4-BE49-F238E27FC236}">
                <a16:creationId xmlns:a16="http://schemas.microsoft.com/office/drawing/2014/main" id="{00000000-0008-0000-0400-00002C000000}"/>
              </a:ext>
            </a:extLst>
          </xdr:cNvPr>
          <xdr:cNvCxnSpPr>
            <a:cxnSpLocks/>
          </xdr:cNvCxnSpPr>
        </xdr:nvCxnSpPr>
        <xdr:spPr>
          <a:xfrm>
            <a:off x="5946945" y="3646932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Conexão reta 44">
            <a:extLst>
              <a:ext uri="{FF2B5EF4-FFF2-40B4-BE49-F238E27FC236}">
                <a16:creationId xmlns:a16="http://schemas.microsoft.com/office/drawing/2014/main" id="{00000000-0008-0000-0400-00002D000000}"/>
              </a:ext>
            </a:extLst>
          </xdr:cNvPr>
          <xdr:cNvCxnSpPr>
            <a:cxnSpLocks/>
          </xdr:cNvCxnSpPr>
        </xdr:nvCxnSpPr>
        <xdr:spPr>
          <a:xfrm>
            <a:off x="6512956" y="3208020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Conexão reta 45">
            <a:extLst>
              <a:ext uri="{FF2B5EF4-FFF2-40B4-BE49-F238E27FC236}">
                <a16:creationId xmlns:a16="http://schemas.microsoft.com/office/drawing/2014/main" id="{00000000-0008-0000-0400-00002E000000}"/>
              </a:ext>
            </a:extLst>
          </xdr:cNvPr>
          <xdr:cNvCxnSpPr>
            <a:cxnSpLocks/>
          </xdr:cNvCxnSpPr>
        </xdr:nvCxnSpPr>
        <xdr:spPr>
          <a:xfrm>
            <a:off x="6515118" y="3639185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Conexão reta 46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CxnSpPr>
            <a:cxnSpLocks/>
          </xdr:cNvCxnSpPr>
        </xdr:nvCxnSpPr>
        <xdr:spPr>
          <a:xfrm>
            <a:off x="7073988" y="3448939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Conexão reta 47">
            <a:extLst>
              <a:ext uri="{FF2B5EF4-FFF2-40B4-BE49-F238E27FC236}">
                <a16:creationId xmlns:a16="http://schemas.microsoft.com/office/drawing/2014/main" id="{00000000-0008-0000-0400-000030000000}"/>
              </a:ext>
            </a:extLst>
          </xdr:cNvPr>
          <xdr:cNvCxnSpPr>
            <a:cxnSpLocks/>
          </xdr:cNvCxnSpPr>
        </xdr:nvCxnSpPr>
        <xdr:spPr>
          <a:xfrm>
            <a:off x="7106901" y="3723513"/>
            <a:ext cx="298704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Conexão reta 48">
            <a:extLst>
              <a:ext uri="{FF2B5EF4-FFF2-40B4-BE49-F238E27FC236}">
                <a16:creationId xmlns:a16="http://schemas.microsoft.com/office/drawing/2014/main" id="{00000000-0008-0000-0400-000031000000}"/>
              </a:ext>
            </a:extLst>
          </xdr:cNvPr>
          <xdr:cNvCxnSpPr>
            <a:cxnSpLocks/>
          </xdr:cNvCxnSpPr>
        </xdr:nvCxnSpPr>
        <xdr:spPr>
          <a:xfrm>
            <a:off x="5020694" y="557657"/>
            <a:ext cx="0" cy="318072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Conexão reta 49">
            <a:extLst>
              <a:ext uri="{FF2B5EF4-FFF2-40B4-BE49-F238E27FC236}">
                <a16:creationId xmlns:a16="http://schemas.microsoft.com/office/drawing/2014/main" id="{00000000-0008-0000-0400-000032000000}"/>
              </a:ext>
            </a:extLst>
          </xdr:cNvPr>
          <xdr:cNvCxnSpPr>
            <a:cxnSpLocks/>
          </xdr:cNvCxnSpPr>
        </xdr:nvCxnSpPr>
        <xdr:spPr>
          <a:xfrm>
            <a:off x="5548135" y="557657"/>
            <a:ext cx="0" cy="32042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Conexão reta 50">
            <a:extLst>
              <a:ext uri="{FF2B5EF4-FFF2-40B4-BE49-F238E27FC236}">
                <a16:creationId xmlns:a16="http://schemas.microsoft.com/office/drawing/2014/main" id="{00000000-0008-0000-0400-000033000000}"/>
              </a:ext>
            </a:extLst>
          </xdr:cNvPr>
          <xdr:cNvCxnSpPr>
            <a:cxnSpLocks/>
          </xdr:cNvCxnSpPr>
        </xdr:nvCxnSpPr>
        <xdr:spPr>
          <a:xfrm flipH="1">
            <a:off x="7248992" y="4714621"/>
            <a:ext cx="355211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Conexão reta 51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CxnSpPr>
            <a:cxnSpLocks/>
          </xdr:cNvCxnSpPr>
        </xdr:nvCxnSpPr>
        <xdr:spPr>
          <a:xfrm flipH="1">
            <a:off x="6907028" y="4515526"/>
            <a:ext cx="587118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Conexão reta 52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CxnSpPr>
            <a:cxnSpLocks/>
          </xdr:cNvCxnSpPr>
        </xdr:nvCxnSpPr>
        <xdr:spPr>
          <a:xfrm>
            <a:off x="4914522" y="2312035"/>
            <a:ext cx="0" cy="766821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Conexão reta 53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CxnSpPr>
            <a:cxnSpLocks/>
          </xdr:cNvCxnSpPr>
        </xdr:nvCxnSpPr>
        <xdr:spPr>
          <a:xfrm>
            <a:off x="4914522" y="3108940"/>
            <a:ext cx="130" cy="612922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Conexão reta 54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CxnSpPr>
            <a:cxnSpLocks/>
          </xdr:cNvCxnSpPr>
        </xdr:nvCxnSpPr>
        <xdr:spPr>
          <a:xfrm>
            <a:off x="7494146" y="4515526"/>
            <a:ext cx="0" cy="1143087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Conexão reta 55">
            <a:extLst>
              <a:ext uri="{FF2B5EF4-FFF2-40B4-BE49-F238E27FC236}">
                <a16:creationId xmlns:a16="http://schemas.microsoft.com/office/drawing/2014/main" id="{00000000-0008-0000-0400-000038000000}"/>
              </a:ext>
            </a:extLst>
          </xdr:cNvPr>
          <xdr:cNvCxnSpPr>
            <a:cxnSpLocks/>
          </xdr:cNvCxnSpPr>
        </xdr:nvCxnSpPr>
        <xdr:spPr>
          <a:xfrm>
            <a:off x="5282718" y="569912"/>
            <a:ext cx="0" cy="318072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Conexão reta 56">
            <a:extLst>
              <a:ext uri="{FF2B5EF4-FFF2-40B4-BE49-F238E27FC236}">
                <a16:creationId xmlns:a16="http://schemas.microsoft.com/office/drawing/2014/main" id="{00000000-0008-0000-0400-000039000000}"/>
              </a:ext>
            </a:extLst>
          </xdr:cNvPr>
          <xdr:cNvCxnSpPr>
            <a:cxnSpLocks/>
          </xdr:cNvCxnSpPr>
        </xdr:nvCxnSpPr>
        <xdr:spPr>
          <a:xfrm>
            <a:off x="5798360" y="573373"/>
            <a:ext cx="0" cy="318072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Conexão reta 57">
            <a:extLst>
              <a:ext uri="{FF2B5EF4-FFF2-40B4-BE49-F238E27FC236}">
                <a16:creationId xmlns:a16="http://schemas.microsoft.com/office/drawing/2014/main" id="{00000000-0008-0000-0400-00003A000000}"/>
              </a:ext>
            </a:extLst>
          </xdr:cNvPr>
          <xdr:cNvCxnSpPr>
            <a:cxnSpLocks/>
          </xdr:cNvCxnSpPr>
        </xdr:nvCxnSpPr>
        <xdr:spPr>
          <a:xfrm>
            <a:off x="6066100" y="551624"/>
            <a:ext cx="0" cy="338836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Conexão reta 58">
            <a:extLst>
              <a:ext uri="{FF2B5EF4-FFF2-40B4-BE49-F238E27FC236}">
                <a16:creationId xmlns:a16="http://schemas.microsoft.com/office/drawing/2014/main" id="{00000000-0008-0000-0400-00003B000000}"/>
              </a:ext>
            </a:extLst>
          </xdr:cNvPr>
          <xdr:cNvCxnSpPr>
            <a:cxnSpLocks/>
          </xdr:cNvCxnSpPr>
        </xdr:nvCxnSpPr>
        <xdr:spPr>
          <a:xfrm>
            <a:off x="6464971" y="559530"/>
            <a:ext cx="0" cy="338836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Conexão reta 59">
            <a:extLst>
              <a:ext uri="{FF2B5EF4-FFF2-40B4-BE49-F238E27FC236}">
                <a16:creationId xmlns:a16="http://schemas.microsoft.com/office/drawing/2014/main" id="{00000000-0008-0000-0400-00003C000000}"/>
              </a:ext>
            </a:extLst>
          </xdr:cNvPr>
          <xdr:cNvCxnSpPr>
            <a:cxnSpLocks/>
          </xdr:cNvCxnSpPr>
        </xdr:nvCxnSpPr>
        <xdr:spPr>
          <a:xfrm>
            <a:off x="6721567" y="569912"/>
            <a:ext cx="0" cy="338836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Conexão reta 60">
            <a:extLst>
              <a:ext uri="{FF2B5EF4-FFF2-40B4-BE49-F238E27FC236}">
                <a16:creationId xmlns:a16="http://schemas.microsoft.com/office/drawing/2014/main" id="{00000000-0008-0000-0400-00003D000000}"/>
              </a:ext>
            </a:extLst>
          </xdr:cNvPr>
          <xdr:cNvCxnSpPr>
            <a:cxnSpLocks/>
          </xdr:cNvCxnSpPr>
        </xdr:nvCxnSpPr>
        <xdr:spPr>
          <a:xfrm>
            <a:off x="6988758" y="559530"/>
            <a:ext cx="0" cy="338836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Conexão reta 61">
            <a:extLst>
              <a:ext uri="{FF2B5EF4-FFF2-40B4-BE49-F238E27FC236}">
                <a16:creationId xmlns:a16="http://schemas.microsoft.com/office/drawing/2014/main" id="{00000000-0008-0000-0400-00003E000000}"/>
              </a:ext>
            </a:extLst>
          </xdr:cNvPr>
          <xdr:cNvCxnSpPr>
            <a:cxnSpLocks/>
          </xdr:cNvCxnSpPr>
        </xdr:nvCxnSpPr>
        <xdr:spPr>
          <a:xfrm>
            <a:off x="7238114" y="559530"/>
            <a:ext cx="0" cy="338836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Conexão reta 62">
            <a:extLst>
              <a:ext uri="{FF2B5EF4-FFF2-40B4-BE49-F238E27FC236}">
                <a16:creationId xmlns:a16="http://schemas.microsoft.com/office/drawing/2014/main" id="{00000000-0008-0000-0400-00003F000000}"/>
              </a:ext>
            </a:extLst>
          </xdr:cNvPr>
          <xdr:cNvCxnSpPr>
            <a:cxnSpLocks/>
          </xdr:cNvCxnSpPr>
        </xdr:nvCxnSpPr>
        <xdr:spPr>
          <a:xfrm>
            <a:off x="7494146" y="569912"/>
            <a:ext cx="0" cy="338836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Conexão reta 63">
            <a:extLst>
              <a:ext uri="{FF2B5EF4-FFF2-40B4-BE49-F238E27FC236}">
                <a16:creationId xmlns:a16="http://schemas.microsoft.com/office/drawing/2014/main" id="{00000000-0008-0000-0400-000040000000}"/>
              </a:ext>
            </a:extLst>
          </xdr:cNvPr>
          <xdr:cNvCxnSpPr>
            <a:cxnSpLocks/>
          </xdr:cNvCxnSpPr>
        </xdr:nvCxnSpPr>
        <xdr:spPr>
          <a:xfrm>
            <a:off x="7750178" y="559434"/>
            <a:ext cx="0" cy="338836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Conexão reta 64">
            <a:extLst>
              <a:ext uri="{FF2B5EF4-FFF2-40B4-BE49-F238E27FC236}">
                <a16:creationId xmlns:a16="http://schemas.microsoft.com/office/drawing/2014/main" id="{00000000-0008-0000-0400-000041000000}"/>
              </a:ext>
            </a:extLst>
          </xdr:cNvPr>
          <xdr:cNvCxnSpPr>
            <a:cxnSpLocks/>
          </xdr:cNvCxnSpPr>
        </xdr:nvCxnSpPr>
        <xdr:spPr>
          <a:xfrm flipH="1">
            <a:off x="7274398" y="4933315"/>
            <a:ext cx="355211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Conexão reta 65">
            <a:extLst>
              <a:ext uri="{FF2B5EF4-FFF2-40B4-BE49-F238E27FC236}">
                <a16:creationId xmlns:a16="http://schemas.microsoft.com/office/drawing/2014/main" id="{00000000-0008-0000-0400-000042000000}"/>
              </a:ext>
            </a:extLst>
          </xdr:cNvPr>
          <xdr:cNvCxnSpPr>
            <a:cxnSpLocks/>
          </xdr:cNvCxnSpPr>
        </xdr:nvCxnSpPr>
        <xdr:spPr>
          <a:xfrm flipH="1">
            <a:off x="7279556" y="5155946"/>
            <a:ext cx="355211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Conexão reta 66">
            <a:extLst>
              <a:ext uri="{FF2B5EF4-FFF2-40B4-BE49-F238E27FC236}">
                <a16:creationId xmlns:a16="http://schemas.microsoft.com/office/drawing/2014/main" id="{00000000-0008-0000-0400-000043000000}"/>
              </a:ext>
            </a:extLst>
          </xdr:cNvPr>
          <xdr:cNvCxnSpPr>
            <a:cxnSpLocks/>
          </xdr:cNvCxnSpPr>
        </xdr:nvCxnSpPr>
        <xdr:spPr>
          <a:xfrm flipH="1">
            <a:off x="7257718" y="5405882"/>
            <a:ext cx="355211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Conexão reta 67">
            <a:extLst>
              <a:ext uri="{FF2B5EF4-FFF2-40B4-BE49-F238E27FC236}">
                <a16:creationId xmlns:a16="http://schemas.microsoft.com/office/drawing/2014/main" id="{00000000-0008-0000-0400-000044000000}"/>
              </a:ext>
            </a:extLst>
          </xdr:cNvPr>
          <xdr:cNvCxnSpPr>
            <a:cxnSpLocks/>
          </xdr:cNvCxnSpPr>
        </xdr:nvCxnSpPr>
        <xdr:spPr>
          <a:xfrm flipH="1">
            <a:off x="7238862" y="5658613"/>
            <a:ext cx="355211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" name="Conexão reta 68">
            <a:extLst>
              <a:ext uri="{FF2B5EF4-FFF2-40B4-BE49-F238E27FC236}">
                <a16:creationId xmlns:a16="http://schemas.microsoft.com/office/drawing/2014/main" id="{00000000-0008-0000-0400-000045000000}"/>
              </a:ext>
            </a:extLst>
          </xdr:cNvPr>
          <xdr:cNvCxnSpPr>
            <a:cxnSpLocks/>
          </xdr:cNvCxnSpPr>
        </xdr:nvCxnSpPr>
        <xdr:spPr>
          <a:xfrm>
            <a:off x="4908632" y="3078856"/>
            <a:ext cx="193040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Conexão reta 69">
            <a:extLst>
              <a:ext uri="{FF2B5EF4-FFF2-40B4-BE49-F238E27FC236}">
                <a16:creationId xmlns:a16="http://schemas.microsoft.com/office/drawing/2014/main" id="{00000000-0008-0000-0400-000046000000}"/>
              </a:ext>
            </a:extLst>
          </xdr:cNvPr>
          <xdr:cNvCxnSpPr>
            <a:cxnSpLocks/>
          </xdr:cNvCxnSpPr>
        </xdr:nvCxnSpPr>
        <xdr:spPr>
          <a:xfrm>
            <a:off x="4918774" y="3108940"/>
            <a:ext cx="193040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Conexão reta 70">
            <a:extLst>
              <a:ext uri="{FF2B5EF4-FFF2-40B4-BE49-F238E27FC236}">
                <a16:creationId xmlns:a16="http://schemas.microsoft.com/office/drawing/2014/main" id="{00000000-0008-0000-0400-000047000000}"/>
              </a:ext>
            </a:extLst>
          </xdr:cNvPr>
          <xdr:cNvCxnSpPr>
            <a:cxnSpLocks/>
          </xdr:cNvCxnSpPr>
        </xdr:nvCxnSpPr>
        <xdr:spPr>
          <a:xfrm>
            <a:off x="5160351" y="3078856"/>
            <a:ext cx="364761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" name="Conexão reta 71">
            <a:extLst>
              <a:ext uri="{FF2B5EF4-FFF2-40B4-BE49-F238E27FC236}">
                <a16:creationId xmlns:a16="http://schemas.microsoft.com/office/drawing/2014/main" id="{00000000-0008-0000-0400-000048000000}"/>
              </a:ext>
            </a:extLst>
          </xdr:cNvPr>
          <xdr:cNvCxnSpPr>
            <a:cxnSpLocks/>
          </xdr:cNvCxnSpPr>
        </xdr:nvCxnSpPr>
        <xdr:spPr>
          <a:xfrm>
            <a:off x="5148257" y="3104002"/>
            <a:ext cx="369157" cy="4938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Conexão reta 72">
            <a:extLst>
              <a:ext uri="{FF2B5EF4-FFF2-40B4-BE49-F238E27FC236}">
                <a16:creationId xmlns:a16="http://schemas.microsoft.com/office/drawing/2014/main" id="{00000000-0008-0000-0400-000049000000}"/>
              </a:ext>
            </a:extLst>
          </xdr:cNvPr>
          <xdr:cNvCxnSpPr>
            <a:cxnSpLocks/>
          </xdr:cNvCxnSpPr>
        </xdr:nvCxnSpPr>
        <xdr:spPr>
          <a:xfrm>
            <a:off x="5517414" y="2306991"/>
            <a:ext cx="0" cy="766821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Conexão reta 73">
            <a:extLst>
              <a:ext uri="{FF2B5EF4-FFF2-40B4-BE49-F238E27FC236}">
                <a16:creationId xmlns:a16="http://schemas.microsoft.com/office/drawing/2014/main" id="{00000000-0008-0000-0400-00004A000000}"/>
              </a:ext>
            </a:extLst>
          </xdr:cNvPr>
          <xdr:cNvCxnSpPr>
            <a:cxnSpLocks/>
          </xdr:cNvCxnSpPr>
        </xdr:nvCxnSpPr>
        <xdr:spPr>
          <a:xfrm>
            <a:off x="5510002" y="3104002"/>
            <a:ext cx="2763" cy="556773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Conexão reta 74">
            <a:extLst>
              <a:ext uri="{FF2B5EF4-FFF2-40B4-BE49-F238E27FC236}">
                <a16:creationId xmlns:a16="http://schemas.microsoft.com/office/drawing/2014/main" id="{00000000-0008-0000-0400-00004B000000}"/>
              </a:ext>
            </a:extLst>
          </xdr:cNvPr>
          <xdr:cNvCxnSpPr>
            <a:cxnSpLocks/>
          </xdr:cNvCxnSpPr>
        </xdr:nvCxnSpPr>
        <xdr:spPr>
          <a:xfrm>
            <a:off x="6821787" y="2924803"/>
            <a:ext cx="0" cy="122987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Conexão reta 75">
            <a:extLst>
              <a:ext uri="{FF2B5EF4-FFF2-40B4-BE49-F238E27FC236}">
                <a16:creationId xmlns:a16="http://schemas.microsoft.com/office/drawing/2014/main" id="{00000000-0008-0000-0400-00004C000000}"/>
              </a:ext>
            </a:extLst>
          </xdr:cNvPr>
          <xdr:cNvCxnSpPr>
            <a:cxnSpLocks/>
          </xdr:cNvCxnSpPr>
        </xdr:nvCxnSpPr>
        <xdr:spPr>
          <a:xfrm>
            <a:off x="6086374" y="2306991"/>
            <a:ext cx="0" cy="66709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" name="Conexão reta 76">
            <a:extLst>
              <a:ext uri="{FF2B5EF4-FFF2-40B4-BE49-F238E27FC236}">
                <a16:creationId xmlns:a16="http://schemas.microsoft.com/office/drawing/2014/main" id="{00000000-0008-0000-0400-00004D000000}"/>
              </a:ext>
            </a:extLst>
          </xdr:cNvPr>
          <xdr:cNvCxnSpPr>
            <a:cxnSpLocks/>
          </xdr:cNvCxnSpPr>
        </xdr:nvCxnSpPr>
        <xdr:spPr>
          <a:xfrm>
            <a:off x="6086374" y="2924803"/>
            <a:ext cx="741846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Conexão reta 77">
            <a:extLst>
              <a:ext uri="{FF2B5EF4-FFF2-40B4-BE49-F238E27FC236}">
                <a16:creationId xmlns:a16="http://schemas.microsoft.com/office/drawing/2014/main" id="{00000000-0008-0000-0400-00004E000000}"/>
              </a:ext>
            </a:extLst>
          </xdr:cNvPr>
          <xdr:cNvCxnSpPr>
            <a:cxnSpLocks/>
          </xdr:cNvCxnSpPr>
        </xdr:nvCxnSpPr>
        <xdr:spPr>
          <a:xfrm>
            <a:off x="6096000" y="2986297"/>
            <a:ext cx="0" cy="66709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Conexão reta 78">
            <a:extLst>
              <a:ext uri="{FF2B5EF4-FFF2-40B4-BE49-F238E27FC236}">
                <a16:creationId xmlns:a16="http://schemas.microsoft.com/office/drawing/2014/main" id="{00000000-0008-0000-0400-00004F000000}"/>
              </a:ext>
            </a:extLst>
          </xdr:cNvPr>
          <xdr:cNvCxnSpPr>
            <a:cxnSpLocks/>
          </xdr:cNvCxnSpPr>
        </xdr:nvCxnSpPr>
        <xdr:spPr>
          <a:xfrm>
            <a:off x="6662308" y="3091072"/>
            <a:ext cx="0" cy="548113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0" name="Conexão reta 79">
            <a:extLst>
              <a:ext uri="{FF2B5EF4-FFF2-40B4-BE49-F238E27FC236}">
                <a16:creationId xmlns:a16="http://schemas.microsoft.com/office/drawing/2014/main" id="{00000000-0008-0000-0400-000050000000}"/>
              </a:ext>
            </a:extLst>
          </xdr:cNvPr>
          <xdr:cNvCxnSpPr>
            <a:cxnSpLocks/>
          </xdr:cNvCxnSpPr>
        </xdr:nvCxnSpPr>
        <xdr:spPr>
          <a:xfrm>
            <a:off x="6659109" y="3091484"/>
            <a:ext cx="143738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Conexão reta 80">
            <a:extLst>
              <a:ext uri="{FF2B5EF4-FFF2-40B4-BE49-F238E27FC236}">
                <a16:creationId xmlns:a16="http://schemas.microsoft.com/office/drawing/2014/main" id="{00000000-0008-0000-0400-000051000000}"/>
              </a:ext>
            </a:extLst>
          </xdr:cNvPr>
          <xdr:cNvCxnSpPr>
            <a:cxnSpLocks/>
          </xdr:cNvCxnSpPr>
        </xdr:nvCxnSpPr>
        <xdr:spPr>
          <a:xfrm>
            <a:off x="6069814" y="3026468"/>
            <a:ext cx="741846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Conexão reta 81">
            <a:extLst>
              <a:ext uri="{FF2B5EF4-FFF2-40B4-BE49-F238E27FC236}">
                <a16:creationId xmlns:a16="http://schemas.microsoft.com/office/drawing/2014/main" id="{00000000-0008-0000-0400-000052000000}"/>
              </a:ext>
            </a:extLst>
          </xdr:cNvPr>
          <xdr:cNvCxnSpPr>
            <a:cxnSpLocks/>
          </xdr:cNvCxnSpPr>
        </xdr:nvCxnSpPr>
        <xdr:spPr>
          <a:xfrm>
            <a:off x="6678079" y="2319782"/>
            <a:ext cx="0" cy="555498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" name="Conexão reta 82">
            <a:extLst>
              <a:ext uri="{FF2B5EF4-FFF2-40B4-BE49-F238E27FC236}">
                <a16:creationId xmlns:a16="http://schemas.microsoft.com/office/drawing/2014/main" id="{00000000-0008-0000-0400-000053000000}"/>
              </a:ext>
            </a:extLst>
          </xdr:cNvPr>
          <xdr:cNvCxnSpPr>
            <a:cxnSpLocks/>
          </xdr:cNvCxnSpPr>
        </xdr:nvCxnSpPr>
        <xdr:spPr>
          <a:xfrm>
            <a:off x="6671144" y="2875280"/>
            <a:ext cx="210096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" name="Conexão reta 83">
            <a:extLst>
              <a:ext uri="{FF2B5EF4-FFF2-40B4-BE49-F238E27FC236}">
                <a16:creationId xmlns:a16="http://schemas.microsoft.com/office/drawing/2014/main" id="{00000000-0008-0000-0400-000054000000}"/>
              </a:ext>
            </a:extLst>
          </xdr:cNvPr>
          <xdr:cNvCxnSpPr>
            <a:cxnSpLocks/>
          </xdr:cNvCxnSpPr>
        </xdr:nvCxnSpPr>
        <xdr:spPr>
          <a:xfrm>
            <a:off x="7254522" y="2319782"/>
            <a:ext cx="0" cy="75620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" name="Conexão reta 84">
            <a:extLst>
              <a:ext uri="{FF2B5EF4-FFF2-40B4-BE49-F238E27FC236}">
                <a16:creationId xmlns:a16="http://schemas.microsoft.com/office/drawing/2014/main" id="{00000000-0008-0000-0400-000055000000}"/>
              </a:ext>
            </a:extLst>
          </xdr:cNvPr>
          <xdr:cNvCxnSpPr>
            <a:cxnSpLocks/>
          </xdr:cNvCxnSpPr>
        </xdr:nvCxnSpPr>
        <xdr:spPr>
          <a:xfrm>
            <a:off x="6881240" y="2875280"/>
            <a:ext cx="0" cy="128529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Conexão reta 85">
            <a:extLst>
              <a:ext uri="{FF2B5EF4-FFF2-40B4-BE49-F238E27FC236}">
                <a16:creationId xmlns:a16="http://schemas.microsoft.com/office/drawing/2014/main" id="{00000000-0008-0000-0400-000056000000}"/>
              </a:ext>
            </a:extLst>
          </xdr:cNvPr>
          <xdr:cNvCxnSpPr>
            <a:cxnSpLocks/>
          </xdr:cNvCxnSpPr>
        </xdr:nvCxnSpPr>
        <xdr:spPr>
          <a:xfrm flipV="1">
            <a:off x="6853768" y="3075412"/>
            <a:ext cx="402485" cy="4341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Conexão reta 86">
            <a:extLst>
              <a:ext uri="{FF2B5EF4-FFF2-40B4-BE49-F238E27FC236}">
                <a16:creationId xmlns:a16="http://schemas.microsoft.com/office/drawing/2014/main" id="{00000000-0008-0000-0400-000057000000}"/>
              </a:ext>
            </a:extLst>
          </xdr:cNvPr>
          <xdr:cNvCxnSpPr>
            <a:cxnSpLocks/>
          </xdr:cNvCxnSpPr>
        </xdr:nvCxnSpPr>
        <xdr:spPr>
          <a:xfrm>
            <a:off x="7223340" y="3104002"/>
            <a:ext cx="10691" cy="627696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" name="Conexão reta 87">
            <a:extLst>
              <a:ext uri="{FF2B5EF4-FFF2-40B4-BE49-F238E27FC236}">
                <a16:creationId xmlns:a16="http://schemas.microsoft.com/office/drawing/2014/main" id="{00000000-0008-0000-0400-000058000000}"/>
              </a:ext>
            </a:extLst>
          </xdr:cNvPr>
          <xdr:cNvCxnSpPr>
            <a:cxnSpLocks/>
          </xdr:cNvCxnSpPr>
        </xdr:nvCxnSpPr>
        <xdr:spPr>
          <a:xfrm>
            <a:off x="6907028" y="3097267"/>
            <a:ext cx="349225" cy="6735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" name="Conexão reta 88">
            <a:extLst>
              <a:ext uri="{FF2B5EF4-FFF2-40B4-BE49-F238E27FC236}">
                <a16:creationId xmlns:a16="http://schemas.microsoft.com/office/drawing/2014/main" id="{00000000-0008-0000-0400-000059000000}"/>
              </a:ext>
            </a:extLst>
          </xdr:cNvPr>
          <xdr:cNvCxnSpPr/>
        </xdr:nvCxnSpPr>
        <xdr:spPr>
          <a:xfrm flipV="1">
            <a:off x="3164840" y="1381760"/>
            <a:ext cx="0" cy="28321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Conexão reta 89">
            <a:extLst>
              <a:ext uri="{FF2B5EF4-FFF2-40B4-BE49-F238E27FC236}">
                <a16:creationId xmlns:a16="http://schemas.microsoft.com/office/drawing/2014/main" id="{00000000-0008-0000-0400-00005A000000}"/>
              </a:ext>
            </a:extLst>
          </xdr:cNvPr>
          <xdr:cNvCxnSpPr>
            <a:cxnSpLocks/>
          </xdr:cNvCxnSpPr>
        </xdr:nvCxnSpPr>
        <xdr:spPr>
          <a:xfrm flipH="1">
            <a:off x="5017424" y="739330"/>
            <a:ext cx="1207733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Conexão reta 90">
            <a:extLst>
              <a:ext uri="{FF2B5EF4-FFF2-40B4-BE49-F238E27FC236}">
                <a16:creationId xmlns:a16="http://schemas.microsoft.com/office/drawing/2014/main" id="{00000000-0008-0000-0400-00005B000000}"/>
              </a:ext>
            </a:extLst>
          </xdr:cNvPr>
          <xdr:cNvCxnSpPr>
            <a:cxnSpLocks/>
          </xdr:cNvCxnSpPr>
        </xdr:nvCxnSpPr>
        <xdr:spPr>
          <a:xfrm>
            <a:off x="6225157" y="739330"/>
            <a:ext cx="0" cy="74485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" name="Conexão reta 91">
            <a:extLst>
              <a:ext uri="{FF2B5EF4-FFF2-40B4-BE49-F238E27FC236}">
                <a16:creationId xmlns:a16="http://schemas.microsoft.com/office/drawing/2014/main" id="{00000000-0008-0000-0400-00005C000000}"/>
              </a:ext>
            </a:extLst>
          </xdr:cNvPr>
          <xdr:cNvCxnSpPr>
            <a:cxnSpLocks/>
          </xdr:cNvCxnSpPr>
        </xdr:nvCxnSpPr>
        <xdr:spPr>
          <a:xfrm flipH="1">
            <a:off x="6427030" y="734663"/>
            <a:ext cx="1337348" cy="0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" name="Conexão reta 92">
            <a:extLst>
              <a:ext uri="{FF2B5EF4-FFF2-40B4-BE49-F238E27FC236}">
                <a16:creationId xmlns:a16="http://schemas.microsoft.com/office/drawing/2014/main" id="{00000000-0008-0000-0400-00005D000000}"/>
              </a:ext>
            </a:extLst>
          </xdr:cNvPr>
          <xdr:cNvCxnSpPr>
            <a:cxnSpLocks/>
          </xdr:cNvCxnSpPr>
        </xdr:nvCxnSpPr>
        <xdr:spPr>
          <a:xfrm>
            <a:off x="6427030" y="739330"/>
            <a:ext cx="0" cy="778041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Conexão reta 93">
            <a:extLst>
              <a:ext uri="{FF2B5EF4-FFF2-40B4-BE49-F238E27FC236}">
                <a16:creationId xmlns:a16="http://schemas.microsoft.com/office/drawing/2014/main" id="{00000000-0008-0000-0400-00005E000000}"/>
              </a:ext>
            </a:extLst>
          </xdr:cNvPr>
          <xdr:cNvCxnSpPr>
            <a:cxnSpLocks/>
          </xdr:cNvCxnSpPr>
        </xdr:nvCxnSpPr>
        <xdr:spPr>
          <a:xfrm flipH="1" flipV="1">
            <a:off x="6269946" y="1517371"/>
            <a:ext cx="157084" cy="1937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95" name="Agrupar 94">
            <a:extLst>
              <a:ext uri="{FF2B5EF4-FFF2-40B4-BE49-F238E27FC236}">
                <a16:creationId xmlns:a16="http://schemas.microsoft.com/office/drawing/2014/main" id="{00000000-0008-0000-0400-00005F000000}"/>
              </a:ext>
            </a:extLst>
          </xdr:cNvPr>
          <xdr:cNvGrpSpPr/>
        </xdr:nvGrpSpPr>
        <xdr:grpSpPr>
          <a:xfrm>
            <a:off x="4189344" y="551619"/>
            <a:ext cx="265526" cy="112070"/>
            <a:chOff x="3633737" y="662487"/>
            <a:chExt cx="315682" cy="153888"/>
          </a:xfrm>
        </xdr:grpSpPr>
        <xdr:sp macro="" textlink="">
          <xdr:nvSpPr>
            <xdr:cNvPr id="164" name="Retângulo 163">
              <a:extLst>
                <a:ext uri="{FF2B5EF4-FFF2-40B4-BE49-F238E27FC236}">
                  <a16:creationId xmlns:a16="http://schemas.microsoft.com/office/drawing/2014/main" id="{00000000-0008-0000-0400-0000A4000000}"/>
                </a:ext>
              </a:extLst>
            </xdr:cNvPr>
            <xdr:cNvSpPr/>
          </xdr:nvSpPr>
          <xdr:spPr>
            <a:xfrm>
              <a:off x="3708081" y="729889"/>
              <a:ext cx="114300" cy="72893"/>
            </a:xfrm>
            <a:prstGeom prst="rect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PT"/>
            </a:p>
          </xdr:txBody>
        </xdr:sp>
        <xdr:sp macro="" textlink="">
          <xdr:nvSpPr>
            <xdr:cNvPr id="165" name="CaixaDeTexto 233">
              <a:extLst>
                <a:ext uri="{FF2B5EF4-FFF2-40B4-BE49-F238E27FC236}">
                  <a16:creationId xmlns:a16="http://schemas.microsoft.com/office/drawing/2014/main" id="{00000000-0008-0000-0400-0000A5000000}"/>
                </a:ext>
              </a:extLst>
            </xdr:cNvPr>
            <xdr:cNvSpPr txBox="1"/>
          </xdr:nvSpPr>
          <xdr:spPr>
            <a:xfrm>
              <a:off x="3633737" y="662487"/>
              <a:ext cx="315682" cy="15388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400"/>
                <a:t>HC</a:t>
              </a:r>
            </a:p>
          </xdr:txBody>
        </xdr:sp>
      </xdr:grpSp>
      <xdr:cxnSp macro="">
        <xdr:nvCxnSpPr>
          <xdr:cNvPr id="96" name="Conexão reta 95">
            <a:extLst>
              <a:ext uri="{FF2B5EF4-FFF2-40B4-BE49-F238E27FC236}">
                <a16:creationId xmlns:a16="http://schemas.microsoft.com/office/drawing/2014/main" id="{00000000-0008-0000-0400-000060000000}"/>
              </a:ext>
            </a:extLst>
          </xdr:cNvPr>
          <xdr:cNvCxnSpPr>
            <a:cxnSpLocks/>
          </xdr:cNvCxnSpPr>
        </xdr:nvCxnSpPr>
        <xdr:spPr>
          <a:xfrm>
            <a:off x="4690494" y="284480"/>
            <a:ext cx="0" cy="82451"/>
          </a:xfrm>
          <a:prstGeom prst="line">
            <a:avLst/>
          </a:prstGeom>
          <a:ln w="9525">
            <a:solidFill>
              <a:srgbClr val="FFFF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Conexão reta 96">
            <a:extLst>
              <a:ext uri="{FF2B5EF4-FFF2-40B4-BE49-F238E27FC236}">
                <a16:creationId xmlns:a16="http://schemas.microsoft.com/office/drawing/2014/main" id="{00000000-0008-0000-0400-000061000000}"/>
              </a:ext>
            </a:extLst>
          </xdr:cNvPr>
          <xdr:cNvCxnSpPr>
            <a:cxnSpLocks/>
          </xdr:cNvCxnSpPr>
        </xdr:nvCxnSpPr>
        <xdr:spPr>
          <a:xfrm flipH="1">
            <a:off x="4189356" y="297955"/>
            <a:ext cx="630011" cy="0"/>
          </a:xfrm>
          <a:prstGeom prst="line">
            <a:avLst/>
          </a:prstGeom>
          <a:ln w="9525">
            <a:solidFill>
              <a:srgbClr val="FFFF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Conexão reta 97">
            <a:extLst>
              <a:ext uri="{FF2B5EF4-FFF2-40B4-BE49-F238E27FC236}">
                <a16:creationId xmlns:a16="http://schemas.microsoft.com/office/drawing/2014/main" id="{00000000-0008-0000-0400-000062000000}"/>
              </a:ext>
            </a:extLst>
          </xdr:cNvPr>
          <xdr:cNvCxnSpPr>
            <a:cxnSpLocks/>
          </xdr:cNvCxnSpPr>
        </xdr:nvCxnSpPr>
        <xdr:spPr>
          <a:xfrm flipH="1" flipV="1">
            <a:off x="4221596" y="301737"/>
            <a:ext cx="2903" cy="268175"/>
          </a:xfrm>
          <a:prstGeom prst="line">
            <a:avLst/>
          </a:prstGeom>
          <a:ln w="9525">
            <a:solidFill>
              <a:srgbClr val="FFFF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Conexão reta 98">
            <a:extLst>
              <a:ext uri="{FF2B5EF4-FFF2-40B4-BE49-F238E27FC236}">
                <a16:creationId xmlns:a16="http://schemas.microsoft.com/office/drawing/2014/main" id="{00000000-0008-0000-0400-000063000000}"/>
              </a:ext>
            </a:extLst>
          </xdr:cNvPr>
          <xdr:cNvCxnSpPr>
            <a:cxnSpLocks/>
          </xdr:cNvCxnSpPr>
        </xdr:nvCxnSpPr>
        <xdr:spPr>
          <a:xfrm flipH="1" flipV="1">
            <a:off x="4302143" y="666696"/>
            <a:ext cx="1965871" cy="879868"/>
          </a:xfrm>
          <a:prstGeom prst="line">
            <a:avLst/>
          </a:prstGeom>
          <a:ln w="9525">
            <a:solidFill>
              <a:srgbClr val="10C6F8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Conexão reta 99">
            <a:extLst>
              <a:ext uri="{FF2B5EF4-FFF2-40B4-BE49-F238E27FC236}">
                <a16:creationId xmlns:a16="http://schemas.microsoft.com/office/drawing/2014/main" id="{00000000-0008-0000-0400-000064000000}"/>
              </a:ext>
            </a:extLst>
          </xdr:cNvPr>
          <xdr:cNvCxnSpPr>
            <a:cxnSpLocks/>
          </xdr:cNvCxnSpPr>
        </xdr:nvCxnSpPr>
        <xdr:spPr>
          <a:xfrm flipH="1" flipV="1">
            <a:off x="4306997" y="663695"/>
            <a:ext cx="855282" cy="2427377"/>
          </a:xfrm>
          <a:prstGeom prst="line">
            <a:avLst/>
          </a:prstGeom>
          <a:ln w="9525">
            <a:solidFill>
              <a:srgbClr val="10C6F8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Conexão reta 100">
            <a:extLst>
              <a:ext uri="{FF2B5EF4-FFF2-40B4-BE49-F238E27FC236}">
                <a16:creationId xmlns:a16="http://schemas.microsoft.com/office/drawing/2014/main" id="{00000000-0008-0000-0400-000065000000}"/>
              </a:ext>
            </a:extLst>
          </xdr:cNvPr>
          <xdr:cNvCxnSpPr>
            <a:cxnSpLocks/>
            <a:stCxn id="161" idx="2"/>
          </xdr:cNvCxnSpPr>
        </xdr:nvCxnSpPr>
        <xdr:spPr>
          <a:xfrm flipH="1" flipV="1">
            <a:off x="4322272" y="678492"/>
            <a:ext cx="2531496" cy="2400360"/>
          </a:xfrm>
          <a:prstGeom prst="line">
            <a:avLst/>
          </a:prstGeom>
          <a:ln w="9525">
            <a:solidFill>
              <a:srgbClr val="10C6F8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Conexão reta 101">
            <a:extLst>
              <a:ext uri="{FF2B5EF4-FFF2-40B4-BE49-F238E27FC236}">
                <a16:creationId xmlns:a16="http://schemas.microsoft.com/office/drawing/2014/main" id="{00000000-0008-0000-0400-000066000000}"/>
              </a:ext>
            </a:extLst>
          </xdr:cNvPr>
          <xdr:cNvCxnSpPr>
            <a:cxnSpLocks/>
            <a:stCxn id="157" idx="2"/>
          </xdr:cNvCxnSpPr>
        </xdr:nvCxnSpPr>
        <xdr:spPr>
          <a:xfrm flipH="1" flipV="1">
            <a:off x="4320542" y="679411"/>
            <a:ext cx="2560698" cy="3871326"/>
          </a:xfrm>
          <a:prstGeom prst="line">
            <a:avLst/>
          </a:prstGeom>
          <a:ln w="9525">
            <a:solidFill>
              <a:srgbClr val="10C6F8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3" name="Retângulo 102">
            <a:extLst>
              <a:ext uri="{FF2B5EF4-FFF2-40B4-BE49-F238E27FC236}">
                <a16:creationId xmlns:a16="http://schemas.microsoft.com/office/drawing/2014/main" id="{00000000-0008-0000-0400-000067000000}"/>
              </a:ext>
            </a:extLst>
          </xdr:cNvPr>
          <xdr:cNvSpPr/>
        </xdr:nvSpPr>
        <xdr:spPr>
          <a:xfrm>
            <a:off x="5822254" y="2858008"/>
            <a:ext cx="115824" cy="11582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cxnSp macro="">
        <xdr:nvCxnSpPr>
          <xdr:cNvPr id="104" name="Conexão reta 103">
            <a:extLst>
              <a:ext uri="{FF2B5EF4-FFF2-40B4-BE49-F238E27FC236}">
                <a16:creationId xmlns:a16="http://schemas.microsoft.com/office/drawing/2014/main" id="{00000000-0008-0000-0400-000068000000}"/>
              </a:ext>
            </a:extLst>
          </xdr:cNvPr>
          <xdr:cNvCxnSpPr>
            <a:cxnSpLocks/>
            <a:endCxn id="103" idx="1"/>
          </xdr:cNvCxnSpPr>
        </xdr:nvCxnSpPr>
        <xdr:spPr>
          <a:xfrm flipV="1">
            <a:off x="5158072" y="2915920"/>
            <a:ext cx="664182" cy="157038"/>
          </a:xfrm>
          <a:prstGeom prst="line">
            <a:avLst/>
          </a:prstGeom>
          <a:ln w="9525">
            <a:solidFill>
              <a:srgbClr val="FC0CE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05" name="Agrupar 104">
            <a:extLst>
              <a:ext uri="{FF2B5EF4-FFF2-40B4-BE49-F238E27FC236}">
                <a16:creationId xmlns:a16="http://schemas.microsoft.com/office/drawing/2014/main" id="{00000000-0008-0000-0400-000069000000}"/>
              </a:ext>
            </a:extLst>
          </xdr:cNvPr>
          <xdr:cNvGrpSpPr/>
        </xdr:nvGrpSpPr>
        <xdr:grpSpPr>
          <a:xfrm>
            <a:off x="5005152" y="2986294"/>
            <a:ext cx="277566" cy="122642"/>
            <a:chOff x="3306955" y="649346"/>
            <a:chExt cx="298209" cy="216158"/>
          </a:xfrm>
        </xdr:grpSpPr>
        <xdr:sp macro="" textlink="">
          <xdr:nvSpPr>
            <xdr:cNvPr id="162" name="Retângulo 161">
              <a:extLst>
                <a:ext uri="{FF2B5EF4-FFF2-40B4-BE49-F238E27FC236}">
                  <a16:creationId xmlns:a16="http://schemas.microsoft.com/office/drawing/2014/main" id="{00000000-0008-0000-0400-0000A2000000}"/>
                </a:ext>
              </a:extLst>
            </xdr:cNvPr>
            <xdr:cNvSpPr/>
          </xdr:nvSpPr>
          <xdr:spPr>
            <a:xfrm>
              <a:off x="3381769" y="741679"/>
              <a:ext cx="113271" cy="123825"/>
            </a:xfrm>
            <a:prstGeom prst="rect">
              <a:avLst/>
            </a:prstGeom>
            <a:solidFill>
              <a:srgbClr val="BD2EDA"/>
            </a:solidFill>
            <a:ln>
              <a:solidFill>
                <a:srgbClr val="BD2EDA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PT"/>
            </a:p>
          </xdr:txBody>
        </xdr:sp>
        <xdr:sp macro="" textlink="">
          <xdr:nvSpPr>
            <xdr:cNvPr id="163" name="CaixaDeTexto 147">
              <a:extLst>
                <a:ext uri="{FF2B5EF4-FFF2-40B4-BE49-F238E27FC236}">
                  <a16:creationId xmlns:a16="http://schemas.microsoft.com/office/drawing/2014/main" id="{00000000-0008-0000-0400-0000A3000000}"/>
                </a:ext>
              </a:extLst>
            </xdr:cNvPr>
            <xdr:cNvSpPr txBox="1"/>
          </xdr:nvSpPr>
          <xdr:spPr>
            <a:xfrm>
              <a:off x="3306955" y="649346"/>
              <a:ext cx="298209" cy="18466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600"/>
                <a:t>CP</a:t>
              </a:r>
            </a:p>
          </xdr:txBody>
        </xdr:sp>
      </xdr:grpSp>
      <xdr:grpSp>
        <xdr:nvGrpSpPr>
          <xdr:cNvPr id="106" name="Agrupar 105">
            <a:extLst>
              <a:ext uri="{FF2B5EF4-FFF2-40B4-BE49-F238E27FC236}">
                <a16:creationId xmlns:a16="http://schemas.microsoft.com/office/drawing/2014/main" id="{00000000-0008-0000-0400-00006A000000}"/>
              </a:ext>
            </a:extLst>
          </xdr:cNvPr>
          <xdr:cNvGrpSpPr/>
        </xdr:nvGrpSpPr>
        <xdr:grpSpPr>
          <a:xfrm>
            <a:off x="6714985" y="2974078"/>
            <a:ext cx="277566" cy="122642"/>
            <a:chOff x="3306955" y="649346"/>
            <a:chExt cx="298209" cy="216158"/>
          </a:xfrm>
        </xdr:grpSpPr>
        <xdr:sp macro="" textlink="">
          <xdr:nvSpPr>
            <xdr:cNvPr id="160" name="Retângulo 159">
              <a:extLst>
                <a:ext uri="{FF2B5EF4-FFF2-40B4-BE49-F238E27FC236}">
                  <a16:creationId xmlns:a16="http://schemas.microsoft.com/office/drawing/2014/main" id="{00000000-0008-0000-0400-0000A0000000}"/>
                </a:ext>
              </a:extLst>
            </xdr:cNvPr>
            <xdr:cNvSpPr/>
          </xdr:nvSpPr>
          <xdr:spPr>
            <a:xfrm>
              <a:off x="3381769" y="741679"/>
              <a:ext cx="113271" cy="123825"/>
            </a:xfrm>
            <a:prstGeom prst="rect">
              <a:avLst/>
            </a:prstGeom>
            <a:solidFill>
              <a:srgbClr val="BD2EDA"/>
            </a:solidFill>
            <a:ln>
              <a:solidFill>
                <a:srgbClr val="BD2EDA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PT"/>
            </a:p>
          </xdr:txBody>
        </xdr:sp>
        <xdr:sp macro="" textlink="">
          <xdr:nvSpPr>
            <xdr:cNvPr id="161" name="CaixaDeTexto 144">
              <a:extLst>
                <a:ext uri="{FF2B5EF4-FFF2-40B4-BE49-F238E27FC236}">
                  <a16:creationId xmlns:a16="http://schemas.microsoft.com/office/drawing/2014/main" id="{00000000-0008-0000-0400-0000A1000000}"/>
                </a:ext>
              </a:extLst>
            </xdr:cNvPr>
            <xdr:cNvSpPr txBox="1"/>
          </xdr:nvSpPr>
          <xdr:spPr>
            <a:xfrm>
              <a:off x="3306955" y="649346"/>
              <a:ext cx="298209" cy="18466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600"/>
                <a:t>CP</a:t>
              </a:r>
            </a:p>
          </xdr:txBody>
        </xdr:sp>
      </xdr:grpSp>
      <xdr:sp macro="" textlink="">
        <xdr:nvSpPr>
          <xdr:cNvPr id="107" name="Retângulo 106">
            <a:extLst>
              <a:ext uri="{FF2B5EF4-FFF2-40B4-BE49-F238E27FC236}">
                <a16:creationId xmlns:a16="http://schemas.microsoft.com/office/drawing/2014/main" id="{00000000-0008-0000-0400-00006B000000}"/>
              </a:ext>
            </a:extLst>
          </xdr:cNvPr>
          <xdr:cNvSpPr/>
        </xdr:nvSpPr>
        <xdr:spPr>
          <a:xfrm>
            <a:off x="4743485" y="227457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grpSp>
        <xdr:nvGrpSpPr>
          <xdr:cNvPr id="108" name="Agrupar 107">
            <a:extLst>
              <a:ext uri="{FF2B5EF4-FFF2-40B4-BE49-F238E27FC236}">
                <a16:creationId xmlns:a16="http://schemas.microsoft.com/office/drawing/2014/main" id="{00000000-0008-0000-0400-00006C000000}"/>
              </a:ext>
            </a:extLst>
          </xdr:cNvPr>
          <xdr:cNvGrpSpPr/>
        </xdr:nvGrpSpPr>
        <xdr:grpSpPr>
          <a:xfrm>
            <a:off x="6086374" y="1431790"/>
            <a:ext cx="277566" cy="122642"/>
            <a:chOff x="3306955" y="649346"/>
            <a:chExt cx="298209" cy="216158"/>
          </a:xfrm>
        </xdr:grpSpPr>
        <xdr:sp macro="" textlink="">
          <xdr:nvSpPr>
            <xdr:cNvPr id="158" name="Retângulo 157">
              <a:extLst>
                <a:ext uri="{FF2B5EF4-FFF2-40B4-BE49-F238E27FC236}">
                  <a16:creationId xmlns:a16="http://schemas.microsoft.com/office/drawing/2014/main" id="{00000000-0008-0000-0400-00009E000000}"/>
                </a:ext>
              </a:extLst>
            </xdr:cNvPr>
            <xdr:cNvSpPr/>
          </xdr:nvSpPr>
          <xdr:spPr>
            <a:xfrm>
              <a:off x="3381769" y="741679"/>
              <a:ext cx="113271" cy="123825"/>
            </a:xfrm>
            <a:prstGeom prst="rect">
              <a:avLst/>
            </a:prstGeom>
            <a:solidFill>
              <a:srgbClr val="BD2EDA"/>
            </a:solidFill>
            <a:ln>
              <a:solidFill>
                <a:srgbClr val="BD2EDA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PT"/>
            </a:p>
          </xdr:txBody>
        </xdr:sp>
        <xdr:sp macro="" textlink="">
          <xdr:nvSpPr>
            <xdr:cNvPr id="159" name="CaixaDeTexto 171">
              <a:extLst>
                <a:ext uri="{FF2B5EF4-FFF2-40B4-BE49-F238E27FC236}">
                  <a16:creationId xmlns:a16="http://schemas.microsoft.com/office/drawing/2014/main" id="{00000000-0008-0000-0400-00009F000000}"/>
                </a:ext>
              </a:extLst>
            </xdr:cNvPr>
            <xdr:cNvSpPr txBox="1"/>
          </xdr:nvSpPr>
          <xdr:spPr>
            <a:xfrm>
              <a:off x="3306955" y="649346"/>
              <a:ext cx="298209" cy="18466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600"/>
                <a:t>CP</a:t>
              </a:r>
            </a:p>
          </xdr:txBody>
        </xdr:sp>
      </xdr:grpSp>
      <xdr:sp macro="" textlink="">
        <xdr:nvSpPr>
          <xdr:cNvPr id="109" name="Retângulo 108">
            <a:extLst>
              <a:ext uri="{FF2B5EF4-FFF2-40B4-BE49-F238E27FC236}">
                <a16:creationId xmlns:a16="http://schemas.microsoft.com/office/drawing/2014/main" id="{00000000-0008-0000-0400-00006D000000}"/>
              </a:ext>
            </a:extLst>
          </xdr:cNvPr>
          <xdr:cNvSpPr/>
        </xdr:nvSpPr>
        <xdr:spPr>
          <a:xfrm>
            <a:off x="5024988" y="227457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0" name="Retângulo 109">
            <a:extLst>
              <a:ext uri="{FF2B5EF4-FFF2-40B4-BE49-F238E27FC236}">
                <a16:creationId xmlns:a16="http://schemas.microsoft.com/office/drawing/2014/main" id="{00000000-0008-0000-0400-00006E000000}"/>
              </a:ext>
            </a:extLst>
          </xdr:cNvPr>
          <xdr:cNvSpPr/>
        </xdr:nvSpPr>
        <xdr:spPr>
          <a:xfrm>
            <a:off x="4743485" y="2566289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1" name="Retângulo 110">
            <a:extLst>
              <a:ext uri="{FF2B5EF4-FFF2-40B4-BE49-F238E27FC236}">
                <a16:creationId xmlns:a16="http://schemas.microsoft.com/office/drawing/2014/main" id="{00000000-0008-0000-0400-00006F000000}"/>
              </a:ext>
            </a:extLst>
          </xdr:cNvPr>
          <xdr:cNvSpPr/>
        </xdr:nvSpPr>
        <xdr:spPr>
          <a:xfrm>
            <a:off x="5025697" y="2566289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2" name="Retângulo 111">
            <a:extLst>
              <a:ext uri="{FF2B5EF4-FFF2-40B4-BE49-F238E27FC236}">
                <a16:creationId xmlns:a16="http://schemas.microsoft.com/office/drawing/2014/main" id="{00000000-0008-0000-0400-000070000000}"/>
              </a:ext>
            </a:extLst>
          </xdr:cNvPr>
          <xdr:cNvSpPr/>
        </xdr:nvSpPr>
        <xdr:spPr>
          <a:xfrm>
            <a:off x="5590884" y="227457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3" name="Retângulo 112">
            <a:extLst>
              <a:ext uri="{FF2B5EF4-FFF2-40B4-BE49-F238E27FC236}">
                <a16:creationId xmlns:a16="http://schemas.microsoft.com/office/drawing/2014/main" id="{00000000-0008-0000-0400-000071000000}"/>
              </a:ext>
            </a:extLst>
          </xdr:cNvPr>
          <xdr:cNvSpPr/>
        </xdr:nvSpPr>
        <xdr:spPr>
          <a:xfrm>
            <a:off x="5319987" y="227457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4" name="Retângulo 113">
            <a:extLst>
              <a:ext uri="{FF2B5EF4-FFF2-40B4-BE49-F238E27FC236}">
                <a16:creationId xmlns:a16="http://schemas.microsoft.com/office/drawing/2014/main" id="{00000000-0008-0000-0400-000072000000}"/>
              </a:ext>
            </a:extLst>
          </xdr:cNvPr>
          <xdr:cNvSpPr/>
        </xdr:nvSpPr>
        <xdr:spPr>
          <a:xfrm>
            <a:off x="5319987" y="2566289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5" name="Retângulo 114">
            <a:extLst>
              <a:ext uri="{FF2B5EF4-FFF2-40B4-BE49-F238E27FC236}">
                <a16:creationId xmlns:a16="http://schemas.microsoft.com/office/drawing/2014/main" id="{00000000-0008-0000-0400-000073000000}"/>
              </a:ext>
            </a:extLst>
          </xdr:cNvPr>
          <xdr:cNvSpPr/>
        </xdr:nvSpPr>
        <xdr:spPr>
          <a:xfrm>
            <a:off x="5598193" y="2566289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6" name="Retângulo 115">
            <a:extLst>
              <a:ext uri="{FF2B5EF4-FFF2-40B4-BE49-F238E27FC236}">
                <a16:creationId xmlns:a16="http://schemas.microsoft.com/office/drawing/2014/main" id="{00000000-0008-0000-0400-000074000000}"/>
              </a:ext>
            </a:extLst>
          </xdr:cNvPr>
          <xdr:cNvSpPr/>
        </xdr:nvSpPr>
        <xdr:spPr>
          <a:xfrm>
            <a:off x="5907876" y="227457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7" name="Retângulo 116">
            <a:extLst>
              <a:ext uri="{FF2B5EF4-FFF2-40B4-BE49-F238E27FC236}">
                <a16:creationId xmlns:a16="http://schemas.microsoft.com/office/drawing/2014/main" id="{00000000-0008-0000-0400-000075000000}"/>
              </a:ext>
            </a:extLst>
          </xdr:cNvPr>
          <xdr:cNvSpPr/>
        </xdr:nvSpPr>
        <xdr:spPr>
          <a:xfrm>
            <a:off x="6170303" y="227457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8" name="Retângulo 117">
            <a:extLst>
              <a:ext uri="{FF2B5EF4-FFF2-40B4-BE49-F238E27FC236}">
                <a16:creationId xmlns:a16="http://schemas.microsoft.com/office/drawing/2014/main" id="{00000000-0008-0000-0400-000076000000}"/>
              </a:ext>
            </a:extLst>
          </xdr:cNvPr>
          <xdr:cNvSpPr/>
        </xdr:nvSpPr>
        <xdr:spPr>
          <a:xfrm>
            <a:off x="5907876" y="2566289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19" name="Retângulo 118">
            <a:extLst>
              <a:ext uri="{FF2B5EF4-FFF2-40B4-BE49-F238E27FC236}">
                <a16:creationId xmlns:a16="http://schemas.microsoft.com/office/drawing/2014/main" id="{00000000-0008-0000-0400-000077000000}"/>
              </a:ext>
            </a:extLst>
          </xdr:cNvPr>
          <xdr:cNvSpPr/>
        </xdr:nvSpPr>
        <xdr:spPr>
          <a:xfrm>
            <a:off x="6170303" y="2566289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0" name="Retângulo 119">
            <a:extLst>
              <a:ext uri="{FF2B5EF4-FFF2-40B4-BE49-F238E27FC236}">
                <a16:creationId xmlns:a16="http://schemas.microsoft.com/office/drawing/2014/main" id="{00000000-0008-0000-0400-000078000000}"/>
              </a:ext>
            </a:extLst>
          </xdr:cNvPr>
          <xdr:cNvSpPr/>
        </xdr:nvSpPr>
        <xdr:spPr>
          <a:xfrm>
            <a:off x="6470018" y="227457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1" name="Retângulo 120">
            <a:extLst>
              <a:ext uri="{FF2B5EF4-FFF2-40B4-BE49-F238E27FC236}">
                <a16:creationId xmlns:a16="http://schemas.microsoft.com/office/drawing/2014/main" id="{00000000-0008-0000-0400-000079000000}"/>
              </a:ext>
            </a:extLst>
          </xdr:cNvPr>
          <xdr:cNvSpPr/>
        </xdr:nvSpPr>
        <xdr:spPr>
          <a:xfrm>
            <a:off x="6764758" y="227457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2" name="Retângulo 121">
            <a:extLst>
              <a:ext uri="{FF2B5EF4-FFF2-40B4-BE49-F238E27FC236}">
                <a16:creationId xmlns:a16="http://schemas.microsoft.com/office/drawing/2014/main" id="{00000000-0008-0000-0400-00007A000000}"/>
              </a:ext>
            </a:extLst>
          </xdr:cNvPr>
          <xdr:cNvSpPr/>
        </xdr:nvSpPr>
        <xdr:spPr>
          <a:xfrm>
            <a:off x="6475015" y="2566289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3" name="Retângulo 122">
            <a:extLst>
              <a:ext uri="{FF2B5EF4-FFF2-40B4-BE49-F238E27FC236}">
                <a16:creationId xmlns:a16="http://schemas.microsoft.com/office/drawing/2014/main" id="{00000000-0008-0000-0400-00007B000000}"/>
              </a:ext>
            </a:extLst>
          </xdr:cNvPr>
          <xdr:cNvSpPr/>
        </xdr:nvSpPr>
        <xdr:spPr>
          <a:xfrm>
            <a:off x="6764758" y="2566289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4" name="Retângulo 123">
            <a:extLst>
              <a:ext uri="{FF2B5EF4-FFF2-40B4-BE49-F238E27FC236}">
                <a16:creationId xmlns:a16="http://schemas.microsoft.com/office/drawing/2014/main" id="{00000000-0008-0000-0400-00007C000000}"/>
              </a:ext>
            </a:extLst>
          </xdr:cNvPr>
          <xdr:cNvSpPr/>
        </xdr:nvSpPr>
        <xdr:spPr>
          <a:xfrm>
            <a:off x="7313492" y="227457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5" name="Retângulo 124">
            <a:extLst>
              <a:ext uri="{FF2B5EF4-FFF2-40B4-BE49-F238E27FC236}">
                <a16:creationId xmlns:a16="http://schemas.microsoft.com/office/drawing/2014/main" id="{00000000-0008-0000-0400-00007D000000}"/>
              </a:ext>
            </a:extLst>
          </xdr:cNvPr>
          <xdr:cNvSpPr/>
        </xdr:nvSpPr>
        <xdr:spPr>
          <a:xfrm>
            <a:off x="7059498" y="227457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6" name="Retângulo 125">
            <a:extLst>
              <a:ext uri="{FF2B5EF4-FFF2-40B4-BE49-F238E27FC236}">
                <a16:creationId xmlns:a16="http://schemas.microsoft.com/office/drawing/2014/main" id="{00000000-0008-0000-0400-00007E000000}"/>
              </a:ext>
            </a:extLst>
          </xdr:cNvPr>
          <xdr:cNvSpPr/>
        </xdr:nvSpPr>
        <xdr:spPr>
          <a:xfrm>
            <a:off x="7059498" y="2566289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7" name="Retângulo 126">
            <a:extLst>
              <a:ext uri="{FF2B5EF4-FFF2-40B4-BE49-F238E27FC236}">
                <a16:creationId xmlns:a16="http://schemas.microsoft.com/office/drawing/2014/main" id="{00000000-0008-0000-0400-00007F000000}"/>
              </a:ext>
            </a:extLst>
          </xdr:cNvPr>
          <xdr:cNvSpPr/>
        </xdr:nvSpPr>
        <xdr:spPr>
          <a:xfrm>
            <a:off x="7329723" y="2567114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8" name="Retângulo 127">
            <a:extLst>
              <a:ext uri="{FF2B5EF4-FFF2-40B4-BE49-F238E27FC236}">
                <a16:creationId xmlns:a16="http://schemas.microsoft.com/office/drawing/2014/main" id="{00000000-0008-0000-0400-000080000000}"/>
              </a:ext>
            </a:extLst>
          </xdr:cNvPr>
          <xdr:cNvSpPr/>
        </xdr:nvSpPr>
        <xdr:spPr>
          <a:xfrm>
            <a:off x="5058635" y="33915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29" name="Retângulo 128">
            <a:extLst>
              <a:ext uri="{FF2B5EF4-FFF2-40B4-BE49-F238E27FC236}">
                <a16:creationId xmlns:a16="http://schemas.microsoft.com/office/drawing/2014/main" id="{00000000-0008-0000-0400-000081000000}"/>
              </a:ext>
            </a:extLst>
          </xdr:cNvPr>
          <xdr:cNvSpPr/>
        </xdr:nvSpPr>
        <xdr:spPr>
          <a:xfrm>
            <a:off x="4743485" y="3684397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0" name="Retângulo 129">
            <a:extLst>
              <a:ext uri="{FF2B5EF4-FFF2-40B4-BE49-F238E27FC236}">
                <a16:creationId xmlns:a16="http://schemas.microsoft.com/office/drawing/2014/main" id="{00000000-0008-0000-0400-000082000000}"/>
              </a:ext>
            </a:extLst>
          </xdr:cNvPr>
          <xdr:cNvSpPr/>
        </xdr:nvSpPr>
        <xdr:spPr>
          <a:xfrm>
            <a:off x="5039342" y="367665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1" name="Retângulo 130">
            <a:extLst>
              <a:ext uri="{FF2B5EF4-FFF2-40B4-BE49-F238E27FC236}">
                <a16:creationId xmlns:a16="http://schemas.microsoft.com/office/drawing/2014/main" id="{00000000-0008-0000-0400-000083000000}"/>
              </a:ext>
            </a:extLst>
          </xdr:cNvPr>
          <xdr:cNvSpPr/>
        </xdr:nvSpPr>
        <xdr:spPr>
          <a:xfrm>
            <a:off x="5299878" y="3195066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2" name="Retângulo 131">
            <a:extLst>
              <a:ext uri="{FF2B5EF4-FFF2-40B4-BE49-F238E27FC236}">
                <a16:creationId xmlns:a16="http://schemas.microsoft.com/office/drawing/2014/main" id="{00000000-0008-0000-0400-000084000000}"/>
              </a:ext>
            </a:extLst>
          </xdr:cNvPr>
          <xdr:cNvSpPr/>
        </xdr:nvSpPr>
        <xdr:spPr>
          <a:xfrm>
            <a:off x="5598193" y="3195066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3" name="Retângulo 132">
            <a:extLst>
              <a:ext uri="{FF2B5EF4-FFF2-40B4-BE49-F238E27FC236}">
                <a16:creationId xmlns:a16="http://schemas.microsoft.com/office/drawing/2014/main" id="{00000000-0008-0000-0400-000085000000}"/>
              </a:ext>
            </a:extLst>
          </xdr:cNvPr>
          <xdr:cNvSpPr/>
        </xdr:nvSpPr>
        <xdr:spPr>
          <a:xfrm>
            <a:off x="5598193" y="3609467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4" name="Retângulo 133">
            <a:extLst>
              <a:ext uri="{FF2B5EF4-FFF2-40B4-BE49-F238E27FC236}">
                <a16:creationId xmlns:a16="http://schemas.microsoft.com/office/drawing/2014/main" id="{00000000-0008-0000-0400-000086000000}"/>
              </a:ext>
            </a:extLst>
          </xdr:cNvPr>
          <xdr:cNvSpPr/>
        </xdr:nvSpPr>
        <xdr:spPr>
          <a:xfrm>
            <a:off x="5303327" y="360172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5" name="Retângulo 134">
            <a:extLst>
              <a:ext uri="{FF2B5EF4-FFF2-40B4-BE49-F238E27FC236}">
                <a16:creationId xmlns:a16="http://schemas.microsoft.com/office/drawing/2014/main" id="{00000000-0008-0000-0400-000087000000}"/>
              </a:ext>
            </a:extLst>
          </xdr:cNvPr>
          <xdr:cNvSpPr/>
        </xdr:nvSpPr>
        <xdr:spPr>
          <a:xfrm>
            <a:off x="5874901" y="3195066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6" name="Retângulo 135">
            <a:extLst>
              <a:ext uri="{FF2B5EF4-FFF2-40B4-BE49-F238E27FC236}">
                <a16:creationId xmlns:a16="http://schemas.microsoft.com/office/drawing/2014/main" id="{00000000-0008-0000-0400-000088000000}"/>
              </a:ext>
            </a:extLst>
          </xdr:cNvPr>
          <xdr:cNvSpPr/>
        </xdr:nvSpPr>
        <xdr:spPr>
          <a:xfrm>
            <a:off x="6170303" y="3195066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7" name="Retângulo 136">
            <a:extLst>
              <a:ext uri="{FF2B5EF4-FFF2-40B4-BE49-F238E27FC236}">
                <a16:creationId xmlns:a16="http://schemas.microsoft.com/office/drawing/2014/main" id="{00000000-0008-0000-0400-000089000000}"/>
              </a:ext>
            </a:extLst>
          </xdr:cNvPr>
          <xdr:cNvSpPr/>
        </xdr:nvSpPr>
        <xdr:spPr>
          <a:xfrm>
            <a:off x="5874901" y="360172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8" name="Retângulo 137">
            <a:extLst>
              <a:ext uri="{FF2B5EF4-FFF2-40B4-BE49-F238E27FC236}">
                <a16:creationId xmlns:a16="http://schemas.microsoft.com/office/drawing/2014/main" id="{00000000-0008-0000-0400-00008A000000}"/>
              </a:ext>
            </a:extLst>
          </xdr:cNvPr>
          <xdr:cNvSpPr/>
        </xdr:nvSpPr>
        <xdr:spPr>
          <a:xfrm>
            <a:off x="6169767" y="360172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39" name="Retângulo 138">
            <a:extLst>
              <a:ext uri="{FF2B5EF4-FFF2-40B4-BE49-F238E27FC236}">
                <a16:creationId xmlns:a16="http://schemas.microsoft.com/office/drawing/2014/main" id="{00000000-0008-0000-0400-00008B000000}"/>
              </a:ext>
            </a:extLst>
          </xdr:cNvPr>
          <xdr:cNvSpPr/>
        </xdr:nvSpPr>
        <xdr:spPr>
          <a:xfrm>
            <a:off x="6465705" y="3168904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40" name="Retângulo 139">
            <a:extLst>
              <a:ext uri="{FF2B5EF4-FFF2-40B4-BE49-F238E27FC236}">
                <a16:creationId xmlns:a16="http://schemas.microsoft.com/office/drawing/2014/main" id="{00000000-0008-0000-0400-00008C000000}"/>
              </a:ext>
            </a:extLst>
          </xdr:cNvPr>
          <xdr:cNvSpPr/>
        </xdr:nvSpPr>
        <xdr:spPr>
          <a:xfrm>
            <a:off x="6760026" y="3168904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41" name="Retângulo 140">
            <a:extLst>
              <a:ext uri="{FF2B5EF4-FFF2-40B4-BE49-F238E27FC236}">
                <a16:creationId xmlns:a16="http://schemas.microsoft.com/office/drawing/2014/main" id="{00000000-0008-0000-0400-00008D000000}"/>
              </a:ext>
            </a:extLst>
          </xdr:cNvPr>
          <xdr:cNvSpPr/>
        </xdr:nvSpPr>
        <xdr:spPr>
          <a:xfrm>
            <a:off x="6475015" y="360172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42" name="Retângulo 141">
            <a:extLst>
              <a:ext uri="{FF2B5EF4-FFF2-40B4-BE49-F238E27FC236}">
                <a16:creationId xmlns:a16="http://schemas.microsoft.com/office/drawing/2014/main" id="{00000000-0008-0000-0400-00008E000000}"/>
              </a:ext>
            </a:extLst>
          </xdr:cNvPr>
          <xdr:cNvSpPr/>
        </xdr:nvSpPr>
        <xdr:spPr>
          <a:xfrm>
            <a:off x="6760026" y="360172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43" name="Retângulo 142">
            <a:extLst>
              <a:ext uri="{FF2B5EF4-FFF2-40B4-BE49-F238E27FC236}">
                <a16:creationId xmlns:a16="http://schemas.microsoft.com/office/drawing/2014/main" id="{00000000-0008-0000-0400-00008F000000}"/>
              </a:ext>
            </a:extLst>
          </xdr:cNvPr>
          <xdr:cNvSpPr/>
        </xdr:nvSpPr>
        <xdr:spPr>
          <a:xfrm>
            <a:off x="7057485" y="3391535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44" name="Retângulo 143">
            <a:extLst>
              <a:ext uri="{FF2B5EF4-FFF2-40B4-BE49-F238E27FC236}">
                <a16:creationId xmlns:a16="http://schemas.microsoft.com/office/drawing/2014/main" id="{00000000-0008-0000-0400-000090000000}"/>
              </a:ext>
            </a:extLst>
          </xdr:cNvPr>
          <xdr:cNvSpPr/>
        </xdr:nvSpPr>
        <xdr:spPr>
          <a:xfrm>
            <a:off x="7329723" y="338055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45" name="Retângulo 144">
            <a:extLst>
              <a:ext uri="{FF2B5EF4-FFF2-40B4-BE49-F238E27FC236}">
                <a16:creationId xmlns:a16="http://schemas.microsoft.com/office/drawing/2014/main" id="{00000000-0008-0000-0400-000091000000}"/>
              </a:ext>
            </a:extLst>
          </xdr:cNvPr>
          <xdr:cNvSpPr/>
        </xdr:nvSpPr>
        <xdr:spPr>
          <a:xfrm>
            <a:off x="7055729" y="3684397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46" name="Retângulo 145">
            <a:extLst>
              <a:ext uri="{FF2B5EF4-FFF2-40B4-BE49-F238E27FC236}">
                <a16:creationId xmlns:a16="http://schemas.microsoft.com/office/drawing/2014/main" id="{00000000-0008-0000-0400-000092000000}"/>
              </a:ext>
            </a:extLst>
          </xdr:cNvPr>
          <xdr:cNvSpPr/>
        </xdr:nvSpPr>
        <xdr:spPr>
          <a:xfrm>
            <a:off x="7330745" y="367665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47" name="Retângulo 146">
            <a:extLst>
              <a:ext uri="{FF2B5EF4-FFF2-40B4-BE49-F238E27FC236}">
                <a16:creationId xmlns:a16="http://schemas.microsoft.com/office/drawing/2014/main" id="{00000000-0008-0000-0400-000093000000}"/>
              </a:ext>
            </a:extLst>
          </xdr:cNvPr>
          <xdr:cNvSpPr/>
        </xdr:nvSpPr>
        <xdr:spPr>
          <a:xfrm>
            <a:off x="7200173" y="4676394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grpSp>
        <xdr:nvGrpSpPr>
          <xdr:cNvPr id="148" name="Agrupar 147">
            <a:extLst>
              <a:ext uri="{FF2B5EF4-FFF2-40B4-BE49-F238E27FC236}">
                <a16:creationId xmlns:a16="http://schemas.microsoft.com/office/drawing/2014/main" id="{00000000-0008-0000-0400-000094000000}"/>
              </a:ext>
            </a:extLst>
          </xdr:cNvPr>
          <xdr:cNvGrpSpPr/>
        </xdr:nvGrpSpPr>
        <xdr:grpSpPr>
          <a:xfrm>
            <a:off x="6742457" y="4445963"/>
            <a:ext cx="277566" cy="122642"/>
            <a:chOff x="3306955" y="649346"/>
            <a:chExt cx="298209" cy="216158"/>
          </a:xfrm>
        </xdr:grpSpPr>
        <xdr:sp macro="" textlink="">
          <xdr:nvSpPr>
            <xdr:cNvPr id="156" name="Retângulo 155">
              <a:extLst>
                <a:ext uri="{FF2B5EF4-FFF2-40B4-BE49-F238E27FC236}">
                  <a16:creationId xmlns:a16="http://schemas.microsoft.com/office/drawing/2014/main" id="{00000000-0008-0000-0400-00009C000000}"/>
                </a:ext>
              </a:extLst>
            </xdr:cNvPr>
            <xdr:cNvSpPr/>
          </xdr:nvSpPr>
          <xdr:spPr>
            <a:xfrm>
              <a:off x="3381769" y="741679"/>
              <a:ext cx="113271" cy="123825"/>
            </a:xfrm>
            <a:prstGeom prst="rect">
              <a:avLst/>
            </a:prstGeom>
            <a:solidFill>
              <a:srgbClr val="BD2EDA"/>
            </a:solidFill>
            <a:ln>
              <a:solidFill>
                <a:srgbClr val="BD2EDA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PT"/>
            </a:p>
          </xdr:txBody>
        </xdr:sp>
        <xdr:sp macro="" textlink="">
          <xdr:nvSpPr>
            <xdr:cNvPr id="157" name="CaixaDeTexto 150">
              <a:extLst>
                <a:ext uri="{FF2B5EF4-FFF2-40B4-BE49-F238E27FC236}">
                  <a16:creationId xmlns:a16="http://schemas.microsoft.com/office/drawing/2014/main" id="{00000000-0008-0000-0400-00009D000000}"/>
                </a:ext>
              </a:extLst>
            </xdr:cNvPr>
            <xdr:cNvSpPr txBox="1"/>
          </xdr:nvSpPr>
          <xdr:spPr>
            <a:xfrm>
              <a:off x="3306955" y="649346"/>
              <a:ext cx="298209" cy="18466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600"/>
                <a:t>CP</a:t>
              </a:r>
            </a:p>
          </xdr:txBody>
        </xdr:sp>
      </xdr:grpSp>
      <xdr:sp macro="" textlink="">
        <xdr:nvSpPr>
          <xdr:cNvPr id="149" name="Retângulo 148">
            <a:extLst>
              <a:ext uri="{FF2B5EF4-FFF2-40B4-BE49-F238E27FC236}">
                <a16:creationId xmlns:a16="http://schemas.microsoft.com/office/drawing/2014/main" id="{00000000-0008-0000-0400-000095000000}"/>
              </a:ext>
            </a:extLst>
          </xdr:cNvPr>
          <xdr:cNvSpPr/>
        </xdr:nvSpPr>
        <xdr:spPr>
          <a:xfrm>
            <a:off x="7196090" y="5372989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50" name="Retângulo 149">
            <a:extLst>
              <a:ext uri="{FF2B5EF4-FFF2-40B4-BE49-F238E27FC236}">
                <a16:creationId xmlns:a16="http://schemas.microsoft.com/office/drawing/2014/main" id="{00000000-0008-0000-0400-000096000000}"/>
              </a:ext>
            </a:extLst>
          </xdr:cNvPr>
          <xdr:cNvSpPr/>
        </xdr:nvSpPr>
        <xdr:spPr>
          <a:xfrm>
            <a:off x="7604203" y="5372989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51" name="Retângulo 150">
            <a:extLst>
              <a:ext uri="{FF2B5EF4-FFF2-40B4-BE49-F238E27FC236}">
                <a16:creationId xmlns:a16="http://schemas.microsoft.com/office/drawing/2014/main" id="{00000000-0008-0000-0400-000097000000}"/>
              </a:ext>
            </a:extLst>
          </xdr:cNvPr>
          <xdr:cNvSpPr/>
        </xdr:nvSpPr>
        <xdr:spPr>
          <a:xfrm>
            <a:off x="7609402" y="5116957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52" name="Retângulo 151">
            <a:extLst>
              <a:ext uri="{FF2B5EF4-FFF2-40B4-BE49-F238E27FC236}">
                <a16:creationId xmlns:a16="http://schemas.microsoft.com/office/drawing/2014/main" id="{00000000-0008-0000-0400-000098000000}"/>
              </a:ext>
            </a:extLst>
          </xdr:cNvPr>
          <xdr:cNvSpPr/>
        </xdr:nvSpPr>
        <xdr:spPr>
          <a:xfrm>
            <a:off x="7612929" y="4894961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53" name="Retângulo 152">
            <a:extLst>
              <a:ext uri="{FF2B5EF4-FFF2-40B4-BE49-F238E27FC236}">
                <a16:creationId xmlns:a16="http://schemas.microsoft.com/office/drawing/2014/main" id="{00000000-0008-0000-0400-000099000000}"/>
              </a:ext>
            </a:extLst>
          </xdr:cNvPr>
          <xdr:cNvSpPr/>
        </xdr:nvSpPr>
        <xdr:spPr>
          <a:xfrm>
            <a:off x="7200173" y="4894961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54" name="Retângulo 153">
            <a:extLst>
              <a:ext uri="{FF2B5EF4-FFF2-40B4-BE49-F238E27FC236}">
                <a16:creationId xmlns:a16="http://schemas.microsoft.com/office/drawing/2014/main" id="{00000000-0008-0000-0400-00009A000000}"/>
              </a:ext>
            </a:extLst>
          </xdr:cNvPr>
          <xdr:cNvSpPr/>
        </xdr:nvSpPr>
        <xdr:spPr>
          <a:xfrm>
            <a:off x="7196644" y="5625720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55" name="Retângulo 154">
            <a:extLst>
              <a:ext uri="{FF2B5EF4-FFF2-40B4-BE49-F238E27FC236}">
                <a16:creationId xmlns:a16="http://schemas.microsoft.com/office/drawing/2014/main" id="{00000000-0008-0000-0400-00009B000000}"/>
              </a:ext>
            </a:extLst>
          </xdr:cNvPr>
          <xdr:cNvSpPr/>
        </xdr:nvSpPr>
        <xdr:spPr>
          <a:xfrm>
            <a:off x="7594073" y="4676394"/>
            <a:ext cx="75882" cy="7493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</xdr:grpSp>
    <xdr:clientData/>
  </xdr:twoCellAnchor>
  <xdr:twoCellAnchor>
    <xdr:from>
      <xdr:col>9</xdr:col>
      <xdr:colOff>10912</xdr:colOff>
      <xdr:row>3</xdr:row>
      <xdr:rowOff>99390</xdr:rowOff>
    </xdr:from>
    <xdr:to>
      <xdr:col>13</xdr:col>
      <xdr:colOff>428355</xdr:colOff>
      <xdr:row>11</xdr:row>
      <xdr:rowOff>151117</xdr:rowOff>
    </xdr:to>
    <xdr:grpSp>
      <xdr:nvGrpSpPr>
        <xdr:cNvPr id="166" name="Agrupar 165"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GrpSpPr/>
      </xdr:nvGrpSpPr>
      <xdr:grpSpPr>
        <a:xfrm>
          <a:off x="5497312" y="648030"/>
          <a:ext cx="2855843" cy="1514767"/>
          <a:chOff x="640338" y="3955052"/>
          <a:chExt cx="3131605" cy="1602232"/>
        </a:xfrm>
      </xdr:grpSpPr>
      <xdr:grpSp>
        <xdr:nvGrpSpPr>
          <xdr:cNvPr id="167" name="Agrupar 166">
            <a:extLst>
              <a:ext uri="{FF2B5EF4-FFF2-40B4-BE49-F238E27FC236}">
                <a16:creationId xmlns:a16="http://schemas.microsoft.com/office/drawing/2014/main" id="{00000000-0008-0000-0400-0000A7000000}"/>
              </a:ext>
            </a:extLst>
          </xdr:cNvPr>
          <xdr:cNvGrpSpPr/>
        </xdr:nvGrpSpPr>
        <xdr:grpSpPr>
          <a:xfrm>
            <a:off x="640338" y="4558557"/>
            <a:ext cx="1981531" cy="225138"/>
            <a:chOff x="758388" y="3679952"/>
            <a:chExt cx="2017889" cy="271494"/>
          </a:xfrm>
        </xdr:grpSpPr>
        <xdr:grpSp>
          <xdr:nvGrpSpPr>
            <xdr:cNvPr id="185" name="Agrupar 184">
              <a:extLst>
                <a:ext uri="{FF2B5EF4-FFF2-40B4-BE49-F238E27FC236}">
                  <a16:creationId xmlns:a16="http://schemas.microsoft.com/office/drawing/2014/main" id="{00000000-0008-0000-0400-0000B9000000}"/>
                </a:ext>
              </a:extLst>
            </xdr:cNvPr>
            <xdr:cNvGrpSpPr/>
          </xdr:nvGrpSpPr>
          <xdr:grpSpPr>
            <a:xfrm>
              <a:off x="758388" y="3705225"/>
              <a:ext cx="544632" cy="246221"/>
              <a:chOff x="737650" y="3673251"/>
              <a:chExt cx="495301" cy="280567"/>
            </a:xfrm>
          </xdr:grpSpPr>
          <xdr:sp macro="" textlink="">
            <xdr:nvSpPr>
              <xdr:cNvPr id="187" name="Retângulo 186">
                <a:extLst>
                  <a:ext uri="{FF2B5EF4-FFF2-40B4-BE49-F238E27FC236}">
                    <a16:creationId xmlns:a16="http://schemas.microsoft.com/office/drawing/2014/main" id="{00000000-0008-0000-0400-0000BB000000}"/>
                  </a:ext>
                </a:extLst>
              </xdr:cNvPr>
              <xdr:cNvSpPr/>
            </xdr:nvSpPr>
            <xdr:spPr>
              <a:xfrm>
                <a:off x="761134" y="3718450"/>
                <a:ext cx="239996" cy="190186"/>
              </a:xfrm>
              <a:prstGeom prst="rect">
                <a:avLst/>
              </a:prstGeom>
              <a:solidFill>
                <a:srgbClr val="BD2EDA"/>
              </a:solidFill>
              <a:ln>
                <a:solidFill>
                  <a:srgbClr val="BD2EDA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pt-PT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pt-PT"/>
              </a:p>
            </xdr:txBody>
          </xdr:sp>
          <xdr:sp macro="" textlink="">
            <xdr:nvSpPr>
              <xdr:cNvPr id="188" name="CaixaDeTexto 182">
                <a:extLst>
                  <a:ext uri="{FF2B5EF4-FFF2-40B4-BE49-F238E27FC236}">
                    <a16:creationId xmlns:a16="http://schemas.microsoft.com/office/drawing/2014/main" id="{00000000-0008-0000-0400-0000BC000000}"/>
                  </a:ext>
                </a:extLst>
              </xdr:cNvPr>
              <xdr:cNvSpPr txBox="1"/>
            </xdr:nvSpPr>
            <xdr:spPr>
              <a:xfrm>
                <a:off x="737650" y="3673251"/>
                <a:ext cx="495301" cy="280567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pt-PT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pt-PT" sz="1000"/>
                  <a:t>CP</a:t>
                </a:r>
              </a:p>
            </xdr:txBody>
          </xdr:sp>
        </xdr:grpSp>
        <xdr:sp macro="" textlink="">
          <xdr:nvSpPr>
            <xdr:cNvPr id="186" name="CaixaDeTexto 185">
              <a:extLst>
                <a:ext uri="{FF2B5EF4-FFF2-40B4-BE49-F238E27FC236}">
                  <a16:creationId xmlns:a16="http://schemas.microsoft.com/office/drawing/2014/main" id="{00000000-0008-0000-0400-0000BA000000}"/>
                </a:ext>
              </a:extLst>
            </xdr:cNvPr>
            <xdr:cNvSpPr txBox="1"/>
          </xdr:nvSpPr>
          <xdr:spPr>
            <a:xfrm>
              <a:off x="1106686" y="3679952"/>
              <a:ext cx="1669591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1000"/>
                <a:t>Consolidation Point</a:t>
              </a:r>
            </a:p>
          </xdr:txBody>
        </xdr:sp>
      </xdr:grpSp>
      <xdr:grpSp>
        <xdr:nvGrpSpPr>
          <xdr:cNvPr id="168" name="Agrupar 167">
            <a:extLst>
              <a:ext uri="{FF2B5EF4-FFF2-40B4-BE49-F238E27FC236}">
                <a16:creationId xmlns:a16="http://schemas.microsoft.com/office/drawing/2014/main" id="{00000000-0008-0000-0400-0000A8000000}"/>
              </a:ext>
            </a:extLst>
          </xdr:cNvPr>
          <xdr:cNvGrpSpPr/>
        </xdr:nvGrpSpPr>
        <xdr:grpSpPr>
          <a:xfrm>
            <a:off x="650365" y="3955052"/>
            <a:ext cx="3121578" cy="213098"/>
            <a:chOff x="753737" y="4053326"/>
            <a:chExt cx="3178853" cy="256975"/>
          </a:xfrm>
        </xdr:grpSpPr>
        <xdr:grpSp>
          <xdr:nvGrpSpPr>
            <xdr:cNvPr id="181" name="Agrupar 180">
              <a:extLst>
                <a:ext uri="{FF2B5EF4-FFF2-40B4-BE49-F238E27FC236}">
                  <a16:creationId xmlns:a16="http://schemas.microsoft.com/office/drawing/2014/main" id="{00000000-0008-0000-0400-0000B5000000}"/>
                </a:ext>
              </a:extLst>
            </xdr:cNvPr>
            <xdr:cNvGrpSpPr/>
          </xdr:nvGrpSpPr>
          <xdr:grpSpPr>
            <a:xfrm>
              <a:off x="753737" y="4064080"/>
              <a:ext cx="701040" cy="246221"/>
              <a:chOff x="753737" y="4064080"/>
              <a:chExt cx="701040" cy="246221"/>
            </a:xfrm>
          </xdr:grpSpPr>
          <xdr:sp macro="" textlink="">
            <xdr:nvSpPr>
              <xdr:cNvPr id="183" name="Retângulo 182">
                <a:extLst>
                  <a:ext uri="{FF2B5EF4-FFF2-40B4-BE49-F238E27FC236}">
                    <a16:creationId xmlns:a16="http://schemas.microsoft.com/office/drawing/2014/main" id="{00000000-0008-0000-0400-0000B7000000}"/>
                  </a:ext>
                </a:extLst>
              </xdr:cNvPr>
              <xdr:cNvSpPr/>
            </xdr:nvSpPr>
            <xdr:spPr>
              <a:xfrm>
                <a:off x="784211" y="4107181"/>
                <a:ext cx="263899" cy="160020"/>
              </a:xfrm>
              <a:prstGeom prst="rect">
                <a:avLst/>
              </a:prstGeom>
              <a:solidFill>
                <a:srgbClr val="FF0000"/>
              </a:solidFill>
              <a:ln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pt-PT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pt-PT"/>
              </a:p>
            </xdr:txBody>
          </xdr:sp>
          <xdr:sp macro="" textlink="">
            <xdr:nvSpPr>
              <xdr:cNvPr id="184" name="CaixaDeTexto 193">
                <a:extLst>
                  <a:ext uri="{FF2B5EF4-FFF2-40B4-BE49-F238E27FC236}">
                    <a16:creationId xmlns:a16="http://schemas.microsoft.com/office/drawing/2014/main" id="{00000000-0008-0000-0400-0000B8000000}"/>
                  </a:ext>
                </a:extLst>
              </xdr:cNvPr>
              <xdr:cNvSpPr txBox="1"/>
            </xdr:nvSpPr>
            <xdr:spPr>
              <a:xfrm>
                <a:off x="753737" y="4064080"/>
                <a:ext cx="701040" cy="246221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pt-PT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pt-PT" sz="1000"/>
                  <a:t>HC</a:t>
                </a:r>
              </a:p>
            </xdr:txBody>
          </xdr:sp>
        </xdr:grpSp>
        <xdr:sp macro="" textlink="">
          <xdr:nvSpPr>
            <xdr:cNvPr id="182" name="CaixaDeTexto 210">
              <a:extLst>
                <a:ext uri="{FF2B5EF4-FFF2-40B4-BE49-F238E27FC236}">
                  <a16:creationId xmlns:a16="http://schemas.microsoft.com/office/drawing/2014/main" id="{00000000-0008-0000-0400-0000B6000000}"/>
                </a:ext>
              </a:extLst>
            </xdr:cNvPr>
            <xdr:cNvSpPr txBox="1"/>
          </xdr:nvSpPr>
          <xdr:spPr>
            <a:xfrm>
              <a:off x="1095274" y="4053326"/>
              <a:ext cx="2837316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1000"/>
                <a:t>Horizontal Cross-Connect</a:t>
              </a:r>
            </a:p>
          </xdr:txBody>
        </xdr:sp>
      </xdr:grpSp>
      <xdr:grpSp>
        <xdr:nvGrpSpPr>
          <xdr:cNvPr id="169" name="Agrupar 168">
            <a:extLst>
              <a:ext uri="{FF2B5EF4-FFF2-40B4-BE49-F238E27FC236}">
                <a16:creationId xmlns:a16="http://schemas.microsoft.com/office/drawing/2014/main" id="{00000000-0008-0000-0400-0000A9000000}"/>
              </a:ext>
            </a:extLst>
          </xdr:cNvPr>
          <xdr:cNvGrpSpPr/>
        </xdr:nvGrpSpPr>
        <xdr:grpSpPr>
          <a:xfrm>
            <a:off x="668187" y="4266689"/>
            <a:ext cx="1781692" cy="204181"/>
            <a:chOff x="784211" y="4464263"/>
            <a:chExt cx="1814382" cy="246221"/>
          </a:xfrm>
        </xdr:grpSpPr>
        <xdr:sp macro="" textlink="">
          <xdr:nvSpPr>
            <xdr:cNvPr id="179" name="Retângulo 178">
              <a:extLst>
                <a:ext uri="{FF2B5EF4-FFF2-40B4-BE49-F238E27FC236}">
                  <a16:creationId xmlns:a16="http://schemas.microsoft.com/office/drawing/2014/main" id="{00000000-0008-0000-0400-0000B3000000}"/>
                </a:ext>
              </a:extLst>
            </xdr:cNvPr>
            <xdr:cNvSpPr/>
          </xdr:nvSpPr>
          <xdr:spPr>
            <a:xfrm>
              <a:off x="784211" y="4498354"/>
              <a:ext cx="191149" cy="178041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PT"/>
            </a:p>
          </xdr:txBody>
        </xdr:sp>
        <xdr:sp macro="" textlink="">
          <xdr:nvSpPr>
            <xdr:cNvPr id="180" name="CaixaDeTexto 217">
              <a:extLst>
                <a:ext uri="{FF2B5EF4-FFF2-40B4-BE49-F238E27FC236}">
                  <a16:creationId xmlns:a16="http://schemas.microsoft.com/office/drawing/2014/main" id="{00000000-0008-0000-0400-0000B4000000}"/>
                </a:ext>
              </a:extLst>
            </xdr:cNvPr>
            <xdr:cNvSpPr txBox="1"/>
          </xdr:nvSpPr>
          <xdr:spPr>
            <a:xfrm>
              <a:off x="1095274" y="4464263"/>
              <a:ext cx="1503319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1000"/>
                <a:t>Acess Point</a:t>
              </a:r>
            </a:p>
          </xdr:txBody>
        </xdr:sp>
      </xdr:grpSp>
      <xdr:grpSp>
        <xdr:nvGrpSpPr>
          <xdr:cNvPr id="170" name="Agrupar 169">
            <a:extLst>
              <a:ext uri="{FF2B5EF4-FFF2-40B4-BE49-F238E27FC236}">
                <a16:creationId xmlns:a16="http://schemas.microsoft.com/office/drawing/2014/main" id="{00000000-0008-0000-0400-0000AA000000}"/>
              </a:ext>
            </a:extLst>
          </xdr:cNvPr>
          <xdr:cNvGrpSpPr/>
        </xdr:nvGrpSpPr>
        <xdr:grpSpPr>
          <a:xfrm>
            <a:off x="654962" y="4838350"/>
            <a:ext cx="2688582" cy="260090"/>
            <a:chOff x="518643" y="4898179"/>
            <a:chExt cx="2688582" cy="260090"/>
          </a:xfrm>
        </xdr:grpSpPr>
        <xdr:cxnSp macro="">
          <xdr:nvCxnSpPr>
            <xdr:cNvPr id="177" name="Conexão reta 176">
              <a:extLst>
                <a:ext uri="{FF2B5EF4-FFF2-40B4-BE49-F238E27FC236}">
                  <a16:creationId xmlns:a16="http://schemas.microsoft.com/office/drawing/2014/main" id="{00000000-0008-0000-0400-0000B1000000}"/>
                </a:ext>
              </a:extLst>
            </xdr:cNvPr>
            <xdr:cNvCxnSpPr/>
          </xdr:nvCxnSpPr>
          <xdr:spPr>
            <a:xfrm>
              <a:off x="518643" y="5030037"/>
              <a:ext cx="399401" cy="0"/>
            </a:xfrm>
            <a:prstGeom prst="line">
              <a:avLst/>
            </a:prstGeom>
            <a:ln w="9525">
              <a:solidFill>
                <a:srgbClr val="FC0CE5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8" name="CaixaDeTexto 244">
              <a:extLst>
                <a:ext uri="{FF2B5EF4-FFF2-40B4-BE49-F238E27FC236}">
                  <a16:creationId xmlns:a16="http://schemas.microsoft.com/office/drawing/2014/main" id="{00000000-0008-0000-0400-0000B2000000}"/>
                </a:ext>
              </a:extLst>
            </xdr:cNvPr>
            <xdr:cNvSpPr txBox="1"/>
          </xdr:nvSpPr>
          <xdr:spPr>
            <a:xfrm>
              <a:off x="870516" y="4898179"/>
              <a:ext cx="2336709" cy="26009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1000"/>
                <a:t>Cat6 Copper Cables</a:t>
              </a:r>
            </a:p>
          </xdr:txBody>
        </xdr:sp>
      </xdr:grpSp>
      <xdr:grpSp>
        <xdr:nvGrpSpPr>
          <xdr:cNvPr id="171" name="Agrupar 170">
            <a:extLst>
              <a:ext uri="{FF2B5EF4-FFF2-40B4-BE49-F238E27FC236}">
                <a16:creationId xmlns:a16="http://schemas.microsoft.com/office/drawing/2014/main" id="{00000000-0008-0000-0400-0000AB000000}"/>
              </a:ext>
            </a:extLst>
          </xdr:cNvPr>
          <xdr:cNvGrpSpPr/>
        </xdr:nvGrpSpPr>
        <xdr:grpSpPr>
          <a:xfrm>
            <a:off x="640338" y="5047201"/>
            <a:ext cx="2750093" cy="246221"/>
            <a:chOff x="763890" y="5353129"/>
            <a:chExt cx="2750093" cy="246221"/>
          </a:xfrm>
        </xdr:grpSpPr>
        <xdr:cxnSp macro="">
          <xdr:nvCxnSpPr>
            <xdr:cNvPr id="175" name="Conexão reta 174">
              <a:extLst>
                <a:ext uri="{FF2B5EF4-FFF2-40B4-BE49-F238E27FC236}">
                  <a16:creationId xmlns:a16="http://schemas.microsoft.com/office/drawing/2014/main" id="{00000000-0008-0000-0400-0000AF000000}"/>
                </a:ext>
              </a:extLst>
            </xdr:cNvPr>
            <xdr:cNvCxnSpPr/>
          </xdr:nvCxnSpPr>
          <xdr:spPr>
            <a:xfrm>
              <a:off x="763890" y="5476239"/>
              <a:ext cx="406729" cy="0"/>
            </a:xfrm>
            <a:prstGeom prst="line">
              <a:avLst/>
            </a:prstGeom>
            <a:ln w="9525">
              <a:solidFill>
                <a:srgbClr val="10C6F8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6" name="CaixaDeTexto 253">
              <a:extLst>
                <a:ext uri="{FF2B5EF4-FFF2-40B4-BE49-F238E27FC236}">
                  <a16:creationId xmlns:a16="http://schemas.microsoft.com/office/drawing/2014/main" id="{00000000-0008-0000-0400-0000B0000000}"/>
                </a:ext>
              </a:extLst>
            </xdr:cNvPr>
            <xdr:cNvSpPr txBox="1"/>
          </xdr:nvSpPr>
          <xdr:spPr>
            <a:xfrm>
              <a:off x="1134400" y="5353129"/>
              <a:ext cx="2379583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1000"/>
                <a:t>Cat7 Copper Cables</a:t>
              </a:r>
            </a:p>
          </xdr:txBody>
        </xdr:sp>
      </xdr:grpSp>
      <xdr:grpSp>
        <xdr:nvGrpSpPr>
          <xdr:cNvPr id="172" name="Agrupar 171">
            <a:extLst>
              <a:ext uri="{FF2B5EF4-FFF2-40B4-BE49-F238E27FC236}">
                <a16:creationId xmlns:a16="http://schemas.microsoft.com/office/drawing/2014/main" id="{00000000-0008-0000-0400-0000AC000000}"/>
              </a:ext>
            </a:extLst>
          </xdr:cNvPr>
          <xdr:cNvGrpSpPr/>
        </xdr:nvGrpSpPr>
        <xdr:grpSpPr>
          <a:xfrm>
            <a:off x="674857" y="5311063"/>
            <a:ext cx="1127258" cy="246221"/>
            <a:chOff x="694305" y="5762792"/>
            <a:chExt cx="1127258" cy="246221"/>
          </a:xfrm>
        </xdr:grpSpPr>
        <xdr:sp macro="" textlink="">
          <xdr:nvSpPr>
            <xdr:cNvPr id="173" name="Retângulo 172">
              <a:extLst>
                <a:ext uri="{FF2B5EF4-FFF2-40B4-BE49-F238E27FC236}">
                  <a16:creationId xmlns:a16="http://schemas.microsoft.com/office/drawing/2014/main" id="{00000000-0008-0000-0400-0000AD000000}"/>
                </a:ext>
              </a:extLst>
            </xdr:cNvPr>
            <xdr:cNvSpPr/>
          </xdr:nvSpPr>
          <xdr:spPr>
            <a:xfrm>
              <a:off x="694305" y="5840557"/>
              <a:ext cx="125202" cy="112995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PT"/>
            </a:p>
          </xdr:txBody>
        </xdr:sp>
        <xdr:sp macro="" textlink="">
          <xdr:nvSpPr>
            <xdr:cNvPr id="174" name="CaixaDeTexto 257">
              <a:extLst>
                <a:ext uri="{FF2B5EF4-FFF2-40B4-BE49-F238E27FC236}">
                  <a16:creationId xmlns:a16="http://schemas.microsoft.com/office/drawing/2014/main" id="{00000000-0008-0000-0400-0000AE000000}"/>
                </a:ext>
              </a:extLst>
            </xdr:cNvPr>
            <xdr:cNvSpPr txBox="1"/>
          </xdr:nvSpPr>
          <xdr:spPr>
            <a:xfrm>
              <a:off x="829382" y="5762792"/>
              <a:ext cx="992181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1000"/>
                <a:t>Outlet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C498-2C21-4A2F-BE4C-0A906198D28D}">
  <dimension ref="B2:T34"/>
  <sheetViews>
    <sheetView tabSelected="1" zoomScale="70" zoomScaleNormal="70" workbookViewId="0">
      <selection activeCell="O23" sqref="O23"/>
    </sheetView>
  </sheetViews>
  <sheetFormatPr defaultRowHeight="14.4" x14ac:dyDescent="0.3"/>
  <cols>
    <col min="10" max="10" width="8.5546875" customWidth="1"/>
    <col min="11" max="11" width="8.21875" customWidth="1"/>
    <col min="12" max="12" width="25" customWidth="1"/>
    <col min="13" max="13" width="7.109375" customWidth="1"/>
    <col min="14" max="14" width="16.5546875" customWidth="1"/>
    <col min="15" max="15" width="23.109375" customWidth="1"/>
    <col min="16" max="16" width="17.33203125" customWidth="1"/>
    <col min="17" max="17" width="21.109375" customWidth="1"/>
    <col min="18" max="18" width="12.77734375" customWidth="1"/>
    <col min="19" max="19" width="14.109375" customWidth="1"/>
    <col min="20" max="20" width="15.21875" customWidth="1"/>
    <col min="21" max="21" width="12.109375" customWidth="1"/>
    <col min="22" max="22" width="12.5546875" customWidth="1"/>
  </cols>
  <sheetData>
    <row r="2" spans="2:20" x14ac:dyDescent="0.3">
      <c r="B2" t="s">
        <v>0</v>
      </c>
    </row>
    <row r="3" spans="2:20" x14ac:dyDescent="0.3">
      <c r="L3" s="2"/>
    </row>
    <row r="4" spans="2:20" x14ac:dyDescent="0.3">
      <c r="K4" s="1"/>
      <c r="L4" s="3"/>
      <c r="M4" s="6" t="s">
        <v>1</v>
      </c>
      <c r="N4" s="5"/>
      <c r="P4" s="50" t="s">
        <v>4</v>
      </c>
      <c r="Q4" s="51"/>
      <c r="R4" s="51"/>
      <c r="S4" s="51"/>
      <c r="T4" s="52"/>
    </row>
    <row r="5" spans="2:20" x14ac:dyDescent="0.3">
      <c r="L5" s="4" t="s">
        <v>2</v>
      </c>
      <c r="M5" s="7"/>
      <c r="N5" s="5" t="s">
        <v>3</v>
      </c>
      <c r="P5" s="50" t="s">
        <v>5</v>
      </c>
      <c r="Q5" s="51"/>
      <c r="R5" s="51"/>
      <c r="S5" s="51"/>
      <c r="T5" s="52"/>
    </row>
    <row r="6" spans="2:20" ht="16.2" x14ac:dyDescent="0.3">
      <c r="L6" s="13">
        <v>5</v>
      </c>
      <c r="M6" s="11"/>
      <c r="N6" s="8">
        <v>2.7</v>
      </c>
      <c r="P6" s="8"/>
      <c r="Q6" s="8" t="s">
        <v>6</v>
      </c>
      <c r="R6" s="8" t="s">
        <v>7</v>
      </c>
      <c r="S6" s="8" t="s">
        <v>8</v>
      </c>
      <c r="T6" s="8" t="s">
        <v>9</v>
      </c>
    </row>
    <row r="7" spans="2:20" x14ac:dyDescent="0.3">
      <c r="L7" s="14">
        <v>1</v>
      </c>
      <c r="M7" s="15"/>
      <c r="N7" s="15">
        <f>(L7*N6)/L6</f>
        <v>0.54</v>
      </c>
      <c r="P7" s="8" t="s">
        <v>18</v>
      </c>
      <c r="Q7" s="9">
        <f>1.6/N$7</f>
        <v>2.9629629629629628</v>
      </c>
      <c r="R7" s="9">
        <f>3.5/N$7</f>
        <v>6.481481481481481</v>
      </c>
      <c r="S7" s="9">
        <f>Q7*R7</f>
        <v>19.204389574759944</v>
      </c>
      <c r="T7" s="17">
        <f>ROUNDUP(S7,-1)*(M29/10)</f>
        <v>4</v>
      </c>
    </row>
    <row r="8" spans="2:20" x14ac:dyDescent="0.3">
      <c r="P8" s="8" t="s">
        <v>19</v>
      </c>
      <c r="Q8" s="12">
        <f>2.4/N$7</f>
        <v>4.4444444444444438</v>
      </c>
      <c r="R8" s="9">
        <f>3.5/N$7</f>
        <v>6.481481481481481</v>
      </c>
      <c r="S8" s="9">
        <f t="shared" ref="S8:S15" si="0">Q8*R8</f>
        <v>28.806584362139912</v>
      </c>
      <c r="T8" s="17">
        <f>ROUNDUP(S8,-1)*(M29/10)</f>
        <v>6</v>
      </c>
    </row>
    <row r="9" spans="2:20" x14ac:dyDescent="0.3">
      <c r="P9" s="8" t="s">
        <v>20</v>
      </c>
      <c r="Q9" s="9">
        <f>3.5/N$7</f>
        <v>6.481481481481481</v>
      </c>
      <c r="R9" s="9">
        <f>3.5/N$7</f>
        <v>6.481481481481481</v>
      </c>
      <c r="S9" s="9">
        <f>Q9*R9</f>
        <v>42.009602194787377</v>
      </c>
      <c r="T9" s="17">
        <f>ROUNDUP(S9,-1)*(M29/10)</f>
        <v>10</v>
      </c>
    </row>
    <row r="10" spans="2:20" x14ac:dyDescent="0.3">
      <c r="P10" s="8" t="s">
        <v>21</v>
      </c>
      <c r="Q10" s="9">
        <f>1.6/N$7</f>
        <v>2.9629629629629628</v>
      </c>
      <c r="R10" s="9">
        <f>2.7/N$7</f>
        <v>5</v>
      </c>
      <c r="S10" s="9">
        <f t="shared" si="0"/>
        <v>14.814814814814813</v>
      </c>
      <c r="T10" s="17">
        <f>ROUNDUP(S10,-1)*(M29/10)</f>
        <v>4</v>
      </c>
    </row>
    <row r="11" spans="2:20" x14ac:dyDescent="0.3">
      <c r="P11" s="8" t="s">
        <v>22</v>
      </c>
      <c r="Q11" s="9">
        <f>1.6/N$7</f>
        <v>2.9629629629629628</v>
      </c>
      <c r="R11" s="9">
        <f>2.7/N$7</f>
        <v>5</v>
      </c>
      <c r="S11" s="9">
        <f t="shared" si="0"/>
        <v>14.814814814814813</v>
      </c>
      <c r="T11" s="17">
        <f>ROUNDUP(S11,-1)*(M29/10)</f>
        <v>4</v>
      </c>
    </row>
    <row r="12" spans="2:20" x14ac:dyDescent="0.3">
      <c r="P12" s="8" t="s">
        <v>23</v>
      </c>
      <c r="Q12" s="9">
        <f>1.6/N$7</f>
        <v>2.9629629629629628</v>
      </c>
      <c r="R12" s="9">
        <f>2.7/N$7</f>
        <v>5</v>
      </c>
      <c r="S12" s="9">
        <f t="shared" si="0"/>
        <v>14.814814814814813</v>
      </c>
      <c r="T12" s="17">
        <f>ROUNDUP(S12,-1)*(M29/10)</f>
        <v>4</v>
      </c>
    </row>
    <row r="13" spans="2:20" x14ac:dyDescent="0.3">
      <c r="P13" s="8" t="s">
        <v>24</v>
      </c>
      <c r="Q13" s="9">
        <f>2.6/N$7</f>
        <v>4.8148148148148149</v>
      </c>
      <c r="R13" s="9">
        <f>2.7/N$7</f>
        <v>5</v>
      </c>
      <c r="S13" s="9">
        <f t="shared" si="0"/>
        <v>24.074074074074076</v>
      </c>
      <c r="T13" s="17">
        <f>ROUNDUP(S13,-1)*(M29/10)</f>
        <v>6</v>
      </c>
    </row>
    <row r="14" spans="2:20" x14ac:dyDescent="0.3">
      <c r="L14" s="49" t="s">
        <v>10</v>
      </c>
      <c r="M14" s="49"/>
      <c r="P14" s="8" t="s">
        <v>25</v>
      </c>
      <c r="Q14" s="9">
        <f>2.5/N$7</f>
        <v>4.6296296296296298</v>
      </c>
      <c r="R14" s="9">
        <f>3.1/N$7</f>
        <v>5.7407407407407405</v>
      </c>
      <c r="S14" s="9">
        <f t="shared" si="0"/>
        <v>26.577503429355282</v>
      </c>
      <c r="T14" s="17">
        <f>ROUNDUP(S14,-1)*(M29/10)</f>
        <v>6</v>
      </c>
    </row>
    <row r="15" spans="2:20" x14ac:dyDescent="0.3">
      <c r="L15" s="10" t="s">
        <v>11</v>
      </c>
      <c r="M15" s="8">
        <v>2</v>
      </c>
      <c r="P15" s="8" t="s">
        <v>26</v>
      </c>
      <c r="Q15" s="9">
        <f>3.1/N$7</f>
        <v>5.7407407407407405</v>
      </c>
      <c r="R15" s="9">
        <f>3.8/N$7</f>
        <v>7.0370370370370363</v>
      </c>
      <c r="S15" s="9">
        <f t="shared" si="0"/>
        <v>40.397805212620021</v>
      </c>
      <c r="T15" s="17">
        <f>ROUNDUP(S15,-1)*(M29/10)</f>
        <v>10</v>
      </c>
    </row>
    <row r="16" spans="2:20" x14ac:dyDescent="0.3">
      <c r="L16" s="10" t="s">
        <v>12</v>
      </c>
      <c r="M16" s="8">
        <v>20</v>
      </c>
    </row>
    <row r="17" spans="12:20" x14ac:dyDescent="0.3">
      <c r="L17" s="10" t="s">
        <v>13</v>
      </c>
      <c r="M17" s="8">
        <v>30</v>
      </c>
    </row>
    <row r="18" spans="12:20" ht="16.2" x14ac:dyDescent="0.3">
      <c r="L18" s="10" t="s">
        <v>14</v>
      </c>
      <c r="M18" s="8">
        <f>M16*M17</f>
        <v>600</v>
      </c>
    </row>
    <row r="21" spans="12:20" x14ac:dyDescent="0.3">
      <c r="P21" s="49" t="s">
        <v>27</v>
      </c>
      <c r="Q21" s="49"/>
      <c r="R21" s="49"/>
      <c r="S21" s="49"/>
      <c r="T21" s="49"/>
    </row>
    <row r="22" spans="12:20" x14ac:dyDescent="0.3">
      <c r="P22" s="8" t="s">
        <v>28</v>
      </c>
      <c r="Q22" s="9">
        <f>3.5/N$7</f>
        <v>6.481481481481481</v>
      </c>
      <c r="R22" s="9">
        <f>4/N$7</f>
        <v>7.4074074074074066</v>
      </c>
      <c r="S22" s="9">
        <f t="shared" ref="S22:S34" si="1">Q22*R22</f>
        <v>48.010973936899852</v>
      </c>
      <c r="T22" s="8">
        <f>ROUNDUP(S22,-1)*(M29/10)</f>
        <v>10</v>
      </c>
    </row>
    <row r="23" spans="12:20" x14ac:dyDescent="0.3">
      <c r="L23" s="49" t="s">
        <v>15</v>
      </c>
      <c r="M23" s="49"/>
      <c r="P23" s="8" t="s">
        <v>29</v>
      </c>
      <c r="Q23" s="9">
        <f>3.5/N$7</f>
        <v>6.481481481481481</v>
      </c>
      <c r="R23" s="9">
        <f>4.5/N$7</f>
        <v>8.3333333333333321</v>
      </c>
      <c r="S23" s="9">
        <f t="shared" si="1"/>
        <v>54.012345679012334</v>
      </c>
      <c r="T23" s="8">
        <f>ROUNDUP(S23,-1)*(M29/10)</f>
        <v>12</v>
      </c>
    </row>
    <row r="24" spans="12:20" x14ac:dyDescent="0.3">
      <c r="L24" s="8" t="s">
        <v>16</v>
      </c>
      <c r="M24" s="8">
        <v>4</v>
      </c>
      <c r="P24" s="8" t="s">
        <v>30</v>
      </c>
      <c r="Q24" s="9">
        <f>1.5/N$7</f>
        <v>2.7777777777777777</v>
      </c>
      <c r="R24" s="9">
        <f>2.7/N$7</f>
        <v>5</v>
      </c>
      <c r="S24" s="9">
        <f t="shared" si="1"/>
        <v>13.888888888888889</v>
      </c>
      <c r="T24" s="8">
        <f>ROUNDUP(S24,-1)*(M29/10)</f>
        <v>4</v>
      </c>
    </row>
    <row r="25" spans="12:20" x14ac:dyDescent="0.3">
      <c r="L25" s="8" t="s">
        <v>17</v>
      </c>
      <c r="M25" s="8">
        <v>3</v>
      </c>
      <c r="P25" s="16" t="s">
        <v>31</v>
      </c>
      <c r="Q25" s="9">
        <f>1.5/N$7</f>
        <v>2.7777777777777777</v>
      </c>
      <c r="R25" s="9">
        <f t="shared" ref="R25:R33" si="2">2.7/N$7</f>
        <v>5</v>
      </c>
      <c r="S25" s="9">
        <f t="shared" si="1"/>
        <v>13.888888888888889</v>
      </c>
      <c r="T25" s="8">
        <f>ROUNDUP(S25,-1)*(M29/10)</f>
        <v>4</v>
      </c>
    </row>
    <row r="26" spans="12:20" x14ac:dyDescent="0.3">
      <c r="P26" s="8" t="s">
        <v>32</v>
      </c>
      <c r="Q26" s="9">
        <f t="shared" ref="Q26:Q33" si="3">1.5/N$7</f>
        <v>2.7777777777777777</v>
      </c>
      <c r="R26" s="9">
        <f t="shared" si="2"/>
        <v>5</v>
      </c>
      <c r="S26" s="9">
        <f t="shared" si="1"/>
        <v>13.888888888888889</v>
      </c>
      <c r="T26" s="8">
        <f>ROUNDUP(S26,-1)*(M29/10)</f>
        <v>4</v>
      </c>
    </row>
    <row r="27" spans="12:20" x14ac:dyDescent="0.3">
      <c r="P27" s="16" t="s">
        <v>33</v>
      </c>
      <c r="Q27" s="9">
        <f t="shared" si="3"/>
        <v>2.7777777777777777</v>
      </c>
      <c r="R27" s="9">
        <f t="shared" si="2"/>
        <v>5</v>
      </c>
      <c r="S27" s="9">
        <f t="shared" si="1"/>
        <v>13.888888888888889</v>
      </c>
      <c r="T27" s="8">
        <f>ROUNDUP(S27,-1)*(M29/10)</f>
        <v>4</v>
      </c>
    </row>
    <row r="28" spans="12:20" x14ac:dyDescent="0.3">
      <c r="P28" s="8" t="s">
        <v>34</v>
      </c>
      <c r="Q28" s="9">
        <f t="shared" si="3"/>
        <v>2.7777777777777777</v>
      </c>
      <c r="R28" s="9">
        <f t="shared" si="2"/>
        <v>5</v>
      </c>
      <c r="S28" s="9">
        <f t="shared" si="1"/>
        <v>13.888888888888889</v>
      </c>
      <c r="T28" s="8">
        <f>ROUNDUP(S28,-1)*(M29/10)</f>
        <v>4</v>
      </c>
    </row>
    <row r="29" spans="12:20" ht="16.2" x14ac:dyDescent="0.3">
      <c r="L29" s="10" t="s">
        <v>41</v>
      </c>
      <c r="M29" s="8">
        <v>2</v>
      </c>
      <c r="P29" s="16" t="s">
        <v>35</v>
      </c>
      <c r="Q29" s="9">
        <f t="shared" si="3"/>
        <v>2.7777777777777777</v>
      </c>
      <c r="R29" s="9">
        <f t="shared" si="2"/>
        <v>5</v>
      </c>
      <c r="S29" s="9">
        <f t="shared" si="1"/>
        <v>13.888888888888889</v>
      </c>
      <c r="T29" s="8">
        <f>ROUNDUP(S29,-1)*(M29/10)</f>
        <v>4</v>
      </c>
    </row>
    <row r="30" spans="12:20" x14ac:dyDescent="0.3">
      <c r="L30" s="10" t="s">
        <v>42</v>
      </c>
      <c r="M30" s="17">
        <f>SUM(T7 + T8 + T9 + T10 + T11 + T12 +T13+T14+T15+T22+T23+T24+T25+T26+T27+T28+T29+T30+T31+T32+T33+T34)</f>
        <v>126</v>
      </c>
      <c r="P30" s="8" t="s">
        <v>36</v>
      </c>
      <c r="Q30" s="9">
        <f t="shared" si="3"/>
        <v>2.7777777777777777</v>
      </c>
      <c r="R30" s="9">
        <f t="shared" si="2"/>
        <v>5</v>
      </c>
      <c r="S30" s="9">
        <f t="shared" si="1"/>
        <v>13.888888888888889</v>
      </c>
      <c r="T30" s="8">
        <f>ROUNDUP(S30,-1)*(M29/10)</f>
        <v>4</v>
      </c>
    </row>
    <row r="31" spans="12:20" x14ac:dyDescent="0.3">
      <c r="P31" s="8" t="s">
        <v>37</v>
      </c>
      <c r="Q31" s="9">
        <f t="shared" si="3"/>
        <v>2.7777777777777777</v>
      </c>
      <c r="R31" s="9">
        <f t="shared" si="2"/>
        <v>5</v>
      </c>
      <c r="S31" s="9">
        <f t="shared" si="1"/>
        <v>13.888888888888889</v>
      </c>
      <c r="T31" s="8">
        <f>ROUNDUP(S31,-1)*(M29/10)</f>
        <v>4</v>
      </c>
    </row>
    <row r="32" spans="12:20" x14ac:dyDescent="0.3">
      <c r="P32" s="8" t="s">
        <v>38</v>
      </c>
      <c r="Q32" s="9">
        <f t="shared" si="3"/>
        <v>2.7777777777777777</v>
      </c>
      <c r="R32" s="9">
        <f t="shared" si="2"/>
        <v>5</v>
      </c>
      <c r="S32" s="9">
        <f t="shared" si="1"/>
        <v>13.888888888888889</v>
      </c>
      <c r="T32" s="8">
        <f>ROUNDUP(S32,-1)*(M29/10)</f>
        <v>4</v>
      </c>
    </row>
    <row r="33" spans="16:20" x14ac:dyDescent="0.3">
      <c r="P33" s="8" t="s">
        <v>39</v>
      </c>
      <c r="Q33" s="9">
        <f t="shared" si="3"/>
        <v>2.7777777777777777</v>
      </c>
      <c r="R33" s="9">
        <f t="shared" si="2"/>
        <v>5</v>
      </c>
      <c r="S33" s="9">
        <f t="shared" si="1"/>
        <v>13.888888888888889</v>
      </c>
      <c r="T33" s="8">
        <f>ROUNDUP(S33,-1)*(M29/10)</f>
        <v>4</v>
      </c>
    </row>
    <row r="34" spans="16:20" x14ac:dyDescent="0.3">
      <c r="P34" s="8" t="s">
        <v>40</v>
      </c>
      <c r="Q34" s="9">
        <f>3.1/N$7</f>
        <v>5.7407407407407405</v>
      </c>
      <c r="R34" s="9">
        <f>3.8/N$7</f>
        <v>7.0370370370370363</v>
      </c>
      <c r="S34" s="9">
        <f t="shared" si="1"/>
        <v>40.397805212620021</v>
      </c>
      <c r="T34" s="8">
        <f>ROUNDUP(S34,-1)*(M29/10)</f>
        <v>10</v>
      </c>
    </row>
  </sheetData>
  <mergeCells count="5">
    <mergeCell ref="L23:M23"/>
    <mergeCell ref="P21:T21"/>
    <mergeCell ref="P4:T4"/>
    <mergeCell ref="P5:T5"/>
    <mergeCell ref="L14:M14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F062-6309-4EE2-AA0C-9BE96A1C0787}">
  <dimension ref="A1"/>
  <sheetViews>
    <sheetView zoomScale="70" zoomScaleNormal="70" workbookViewId="0">
      <selection activeCell="U19" sqref="U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8B60-C682-4CA1-AA09-457801059CDF}">
  <dimension ref="A1:C2"/>
  <sheetViews>
    <sheetView zoomScale="70" zoomScaleNormal="70" workbookViewId="0">
      <selection activeCell="O27" sqref="O27"/>
    </sheetView>
  </sheetViews>
  <sheetFormatPr defaultRowHeight="14.4" x14ac:dyDescent="0.3"/>
  <sheetData>
    <row r="1" spans="1:3" x14ac:dyDescent="0.3">
      <c r="A1" s="18" t="s">
        <v>43</v>
      </c>
      <c r="B1" s="18"/>
      <c r="C1" s="18"/>
    </row>
    <row r="2" spans="1:3" x14ac:dyDescent="0.3">
      <c r="A2" s="18" t="s">
        <v>44</v>
      </c>
      <c r="B2" s="18"/>
      <c r="C2" s="1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70A4-D712-4558-8F8D-870F705056B0}">
  <dimension ref="M4:O21"/>
  <sheetViews>
    <sheetView zoomScaleNormal="100" workbookViewId="0">
      <selection activeCell="K21" sqref="K21"/>
    </sheetView>
  </sheetViews>
  <sheetFormatPr defaultRowHeight="14.4" x14ac:dyDescent="0.3"/>
  <cols>
    <col min="13" max="13" width="12" customWidth="1"/>
  </cols>
  <sheetData>
    <row r="4" spans="13:15" x14ac:dyDescent="0.3">
      <c r="M4" t="s">
        <v>45</v>
      </c>
    </row>
    <row r="5" spans="13:15" x14ac:dyDescent="0.3">
      <c r="M5" t="s">
        <v>46</v>
      </c>
    </row>
    <row r="6" spans="13:15" x14ac:dyDescent="0.3">
      <c r="M6" t="s">
        <v>47</v>
      </c>
    </row>
    <row r="7" spans="13:15" x14ac:dyDescent="0.3">
      <c r="M7" s="19" t="s">
        <v>48</v>
      </c>
      <c r="N7" s="23"/>
      <c r="O7" s="20"/>
    </row>
    <row r="8" spans="13:15" x14ac:dyDescent="0.3">
      <c r="M8" s="21" t="s">
        <v>49</v>
      </c>
      <c r="N8" s="8" t="s">
        <v>50</v>
      </c>
      <c r="O8" s="8"/>
    </row>
    <row r="9" spans="13:15" x14ac:dyDescent="0.3">
      <c r="M9" s="8" t="s">
        <v>51</v>
      </c>
      <c r="N9" s="13" t="s">
        <v>57</v>
      </c>
      <c r="O9" s="15"/>
    </row>
    <row r="11" spans="13:15" x14ac:dyDescent="0.3">
      <c r="N11" s="22"/>
    </row>
    <row r="21" spans="13:13" x14ac:dyDescent="0.3">
      <c r="M21" s="24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1AD1-11F8-453F-A944-4F44ED024157}">
  <dimension ref="N4:O9"/>
  <sheetViews>
    <sheetView zoomScaleNormal="100" workbookViewId="0">
      <selection activeCell="O20" sqref="O20"/>
    </sheetView>
  </sheetViews>
  <sheetFormatPr defaultRowHeight="14.4" x14ac:dyDescent="0.3"/>
  <cols>
    <col min="14" max="14" width="14.88671875" customWidth="1"/>
    <col min="15" max="15" width="15.33203125" customWidth="1"/>
  </cols>
  <sheetData>
    <row r="4" spans="14:15" x14ac:dyDescent="0.3">
      <c r="N4" t="s">
        <v>52</v>
      </c>
    </row>
    <row r="5" spans="14:15" x14ac:dyDescent="0.3">
      <c r="N5" t="s">
        <v>53</v>
      </c>
    </row>
    <row r="6" spans="14:15" x14ac:dyDescent="0.3">
      <c r="N6" t="s">
        <v>54</v>
      </c>
    </row>
    <row r="7" spans="14:15" x14ac:dyDescent="0.3">
      <c r="N7" s="19" t="s">
        <v>48</v>
      </c>
      <c r="O7" s="20"/>
    </row>
    <row r="8" spans="14:15" x14ac:dyDescent="0.3">
      <c r="N8" s="21" t="s">
        <v>49</v>
      </c>
      <c r="O8" s="8" t="s">
        <v>50</v>
      </c>
    </row>
    <row r="9" spans="14:15" x14ac:dyDescent="0.3">
      <c r="N9" s="8" t="s">
        <v>55</v>
      </c>
      <c r="O9" s="25" t="s">
        <v>56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8BBC-D1A9-4DE9-AC02-0D3C33EADA03}">
  <dimension ref="B5:O53"/>
  <sheetViews>
    <sheetView zoomScale="85" zoomScaleNormal="85" workbookViewId="0">
      <selection activeCell="L21" sqref="L21"/>
    </sheetView>
  </sheetViews>
  <sheetFormatPr defaultRowHeight="14.4" x14ac:dyDescent="0.3"/>
  <cols>
    <col min="3" max="3" width="20.6640625" customWidth="1"/>
    <col min="4" max="4" width="17.21875" customWidth="1"/>
    <col min="5" max="5" width="41.21875" customWidth="1"/>
    <col min="6" max="6" width="45.33203125" customWidth="1"/>
    <col min="7" max="7" width="16.33203125" customWidth="1"/>
    <col min="10" max="10" width="14.5546875" customWidth="1"/>
    <col min="11" max="11" width="8.88671875" customWidth="1"/>
  </cols>
  <sheetData>
    <row r="5" spans="3:15" x14ac:dyDescent="0.3">
      <c r="D5" s="2"/>
      <c r="E5" s="28"/>
      <c r="N5" s="2"/>
      <c r="O5" s="2"/>
    </row>
    <row r="6" spans="3:15" x14ac:dyDescent="0.3">
      <c r="C6" s="30" t="s">
        <v>58</v>
      </c>
      <c r="D6" s="5"/>
      <c r="F6" s="30" t="s">
        <v>60</v>
      </c>
      <c r="G6" s="5"/>
      <c r="K6" s="3" t="s">
        <v>94</v>
      </c>
      <c r="L6" s="39"/>
      <c r="M6" s="5"/>
      <c r="N6" s="10" t="s">
        <v>72</v>
      </c>
      <c r="O6" s="5" t="s">
        <v>73</v>
      </c>
    </row>
    <row r="7" spans="3:15" x14ac:dyDescent="0.3">
      <c r="C7" s="10"/>
      <c r="D7" s="31" t="s">
        <v>59</v>
      </c>
      <c r="F7" s="10"/>
      <c r="G7" s="31" t="s">
        <v>59</v>
      </c>
      <c r="K7" s="26" t="s">
        <v>95</v>
      </c>
      <c r="L7" s="48"/>
      <c r="M7" s="48"/>
      <c r="N7" s="8">
        <v>1</v>
      </c>
      <c r="O7" s="11">
        <v>0</v>
      </c>
    </row>
    <row r="8" spans="3:15" x14ac:dyDescent="0.3">
      <c r="C8" s="8" t="s">
        <v>18</v>
      </c>
      <c r="D8" s="9">
        <v>25.5</v>
      </c>
      <c r="F8" s="8" t="s">
        <v>28</v>
      </c>
      <c r="G8" s="9">
        <v>21.7</v>
      </c>
      <c r="K8" s="26" t="s">
        <v>96</v>
      </c>
      <c r="L8" s="48"/>
      <c r="M8" s="48"/>
      <c r="N8" s="8">
        <v>1</v>
      </c>
      <c r="O8" s="11">
        <v>1</v>
      </c>
    </row>
    <row r="9" spans="3:15" x14ac:dyDescent="0.3">
      <c r="C9" s="8" t="s">
        <v>19</v>
      </c>
      <c r="D9" s="9">
        <v>14.8</v>
      </c>
      <c r="F9" s="8" t="s">
        <v>29</v>
      </c>
      <c r="G9" s="9">
        <v>25.4</v>
      </c>
      <c r="K9" s="26" t="s">
        <v>97</v>
      </c>
      <c r="L9" s="48"/>
      <c r="M9" s="48"/>
      <c r="N9" s="8">
        <v>3</v>
      </c>
      <c r="O9" s="11">
        <v>4</v>
      </c>
    </row>
    <row r="10" spans="3:15" x14ac:dyDescent="0.3">
      <c r="C10" s="8" t="s">
        <v>20</v>
      </c>
      <c r="D10" s="9">
        <v>28.6</v>
      </c>
      <c r="F10" s="8" t="s">
        <v>30</v>
      </c>
      <c r="G10" s="9">
        <v>8.7899999999999991</v>
      </c>
      <c r="K10" s="26" t="s">
        <v>98</v>
      </c>
      <c r="L10" s="48"/>
      <c r="M10" s="48"/>
      <c r="N10" s="8">
        <v>1</v>
      </c>
      <c r="O10" s="11">
        <v>0</v>
      </c>
    </row>
    <row r="11" spans="3:15" x14ac:dyDescent="0.3">
      <c r="C11" s="8" t="s">
        <v>21</v>
      </c>
      <c r="D11" s="9">
        <v>34.6</v>
      </c>
      <c r="F11" s="8" t="s">
        <v>31</v>
      </c>
      <c r="G11" s="9">
        <v>11.2</v>
      </c>
      <c r="K11" s="26" t="s">
        <v>99</v>
      </c>
      <c r="L11" s="48"/>
      <c r="M11" s="48"/>
      <c r="N11" s="8">
        <v>0</v>
      </c>
      <c r="O11" s="11">
        <v>1</v>
      </c>
    </row>
    <row r="12" spans="3:15" x14ac:dyDescent="0.3">
      <c r="C12" s="8" t="s">
        <v>22</v>
      </c>
      <c r="D12" s="9">
        <v>14.8</v>
      </c>
      <c r="F12" s="8" t="s">
        <v>32</v>
      </c>
      <c r="G12" s="9">
        <v>11.7</v>
      </c>
      <c r="J12" s="28"/>
      <c r="K12" s="47"/>
    </row>
    <row r="13" spans="3:15" x14ac:dyDescent="0.3">
      <c r="C13" s="8" t="s">
        <v>23</v>
      </c>
      <c r="D13" s="8">
        <v>11.3</v>
      </c>
      <c r="F13" s="8" t="s">
        <v>33</v>
      </c>
      <c r="G13" s="8">
        <v>9.17</v>
      </c>
    </row>
    <row r="14" spans="3:15" x14ac:dyDescent="0.3">
      <c r="C14" s="27" t="s">
        <v>24</v>
      </c>
      <c r="D14" s="8">
        <v>10</v>
      </c>
      <c r="F14" s="27" t="s">
        <v>34</v>
      </c>
      <c r="G14" s="8">
        <v>10.1</v>
      </c>
    </row>
    <row r="15" spans="3:15" x14ac:dyDescent="0.3">
      <c r="C15" s="8" t="s">
        <v>25</v>
      </c>
      <c r="D15" s="8">
        <v>13.3</v>
      </c>
      <c r="E15" s="28"/>
      <c r="F15" s="8" t="s">
        <v>35</v>
      </c>
      <c r="G15" s="8">
        <v>8.4</v>
      </c>
    </row>
    <row r="16" spans="3:15" x14ac:dyDescent="0.3">
      <c r="C16" s="27" t="s">
        <v>26</v>
      </c>
      <c r="D16" s="27">
        <v>52.4</v>
      </c>
      <c r="E16" s="28"/>
      <c r="F16" s="8" t="s">
        <v>36</v>
      </c>
      <c r="G16" s="8">
        <v>8.98</v>
      </c>
    </row>
    <row r="17" spans="3:7" x14ac:dyDescent="0.3">
      <c r="C17" s="8" t="s">
        <v>93</v>
      </c>
      <c r="D17" s="45">
        <f>SUM(D8:D16)</f>
        <v>205.3</v>
      </c>
      <c r="F17" s="8" t="s">
        <v>37</v>
      </c>
      <c r="G17" s="8">
        <v>11.4</v>
      </c>
    </row>
    <row r="18" spans="3:7" x14ac:dyDescent="0.3">
      <c r="F18" s="8" t="s">
        <v>38</v>
      </c>
      <c r="G18" s="8">
        <v>8.1</v>
      </c>
    </row>
    <row r="19" spans="3:7" x14ac:dyDescent="0.3">
      <c r="F19" s="8" t="s">
        <v>39</v>
      </c>
      <c r="G19" s="8">
        <v>9.4</v>
      </c>
    </row>
    <row r="20" spans="3:7" x14ac:dyDescent="0.3">
      <c r="F20" s="8" t="s">
        <v>40</v>
      </c>
      <c r="G20" s="8">
        <v>38.4</v>
      </c>
    </row>
    <row r="21" spans="3:7" x14ac:dyDescent="0.3">
      <c r="F21" s="26" t="s">
        <v>93</v>
      </c>
      <c r="G21" s="9">
        <f>SUM(G8:G9)</f>
        <v>47.099999999999994</v>
      </c>
    </row>
    <row r="29" spans="3:7" x14ac:dyDescent="0.3">
      <c r="C29" s="30" t="s">
        <v>58</v>
      </c>
      <c r="D29" s="5"/>
      <c r="F29" s="30" t="s">
        <v>64</v>
      </c>
      <c r="G29" s="5"/>
    </row>
    <row r="30" spans="3:7" x14ac:dyDescent="0.3">
      <c r="C30" s="10"/>
      <c r="D30" s="31" t="s">
        <v>69</v>
      </c>
      <c r="F30" s="10"/>
      <c r="G30" s="31" t="s">
        <v>70</v>
      </c>
    </row>
    <row r="31" spans="3:7" x14ac:dyDescent="0.3">
      <c r="C31" s="8" t="s">
        <v>61</v>
      </c>
      <c r="D31" s="17">
        <v>6</v>
      </c>
      <c r="F31" s="8" t="s">
        <v>65</v>
      </c>
      <c r="G31" s="17">
        <v>13</v>
      </c>
    </row>
    <row r="32" spans="3:7" x14ac:dyDescent="0.3">
      <c r="C32" s="8" t="s">
        <v>62</v>
      </c>
      <c r="D32" s="17">
        <v>24</v>
      </c>
      <c r="F32" s="8" t="s">
        <v>68</v>
      </c>
      <c r="G32" s="17">
        <v>24</v>
      </c>
    </row>
    <row r="33" spans="3:15" x14ac:dyDescent="0.3">
      <c r="C33" s="8" t="s">
        <v>63</v>
      </c>
      <c r="D33" s="17">
        <v>28</v>
      </c>
      <c r="F33" s="8" t="s">
        <v>67</v>
      </c>
      <c r="G33" s="8">
        <v>11</v>
      </c>
    </row>
    <row r="34" spans="3:15" x14ac:dyDescent="0.3">
      <c r="C34" s="8" t="s">
        <v>93</v>
      </c>
      <c r="D34" s="46">
        <f>SUM(D31:D33)</f>
        <v>58</v>
      </c>
      <c r="F34" s="8" t="s">
        <v>66</v>
      </c>
      <c r="G34" s="8">
        <v>18</v>
      </c>
    </row>
    <row r="35" spans="3:15" x14ac:dyDescent="0.3">
      <c r="F35" s="8" t="s">
        <v>93</v>
      </c>
      <c r="G35" s="46">
        <f>SUM(G31:G34)</f>
        <v>66</v>
      </c>
    </row>
    <row r="38" spans="3:15" x14ac:dyDescent="0.3">
      <c r="C38" s="32" t="s">
        <v>71</v>
      </c>
      <c r="D38" s="5"/>
      <c r="F38" s="33" t="s">
        <v>75</v>
      </c>
      <c r="G38" s="5"/>
    </row>
    <row r="39" spans="3:15" x14ac:dyDescent="0.3">
      <c r="C39" s="33"/>
      <c r="D39" s="5" t="s">
        <v>74</v>
      </c>
      <c r="F39" s="10"/>
      <c r="G39" s="5"/>
    </row>
    <row r="40" spans="3:15" x14ac:dyDescent="0.3">
      <c r="C40" s="34" t="s">
        <v>72</v>
      </c>
      <c r="D40" s="15">
        <v>10.3</v>
      </c>
      <c r="F40" s="35" t="s">
        <v>72</v>
      </c>
      <c r="G40" s="15" t="s">
        <v>76</v>
      </c>
    </row>
    <row r="41" spans="3:15" x14ac:dyDescent="0.3">
      <c r="F41" s="35" t="s">
        <v>73</v>
      </c>
      <c r="G41" s="15">
        <v>6</v>
      </c>
    </row>
    <row r="46" spans="3:15" x14ac:dyDescent="0.3">
      <c r="C46" s="38" t="s">
        <v>77</v>
      </c>
      <c r="D46" s="39" t="s">
        <v>78</v>
      </c>
      <c r="E46" s="5"/>
      <c r="F46" s="10" t="s">
        <v>79</v>
      </c>
      <c r="G46" s="39" t="s">
        <v>80</v>
      </c>
      <c r="H46" s="3"/>
      <c r="I46" s="39"/>
      <c r="J46" s="5"/>
      <c r="K46" s="39" t="s">
        <v>81</v>
      </c>
      <c r="L46" s="39"/>
      <c r="M46" s="39"/>
      <c r="N46" s="39"/>
      <c r="O46" s="5"/>
    </row>
    <row r="47" spans="3:15" x14ac:dyDescent="0.3">
      <c r="C47" s="40">
        <v>0</v>
      </c>
      <c r="D47" s="37" t="s">
        <v>82</v>
      </c>
      <c r="E47" s="29"/>
      <c r="F47" s="27" t="s">
        <v>84</v>
      </c>
      <c r="G47" s="37" t="s">
        <v>101</v>
      </c>
      <c r="H47" s="43"/>
      <c r="I47" s="42"/>
      <c r="J47" s="43"/>
      <c r="K47" s="18" t="s">
        <v>85</v>
      </c>
      <c r="L47" s="18"/>
      <c r="M47" s="18"/>
      <c r="N47" s="18"/>
      <c r="O47" s="29"/>
    </row>
    <row r="48" spans="3:15" x14ac:dyDescent="0.3">
      <c r="C48" s="21"/>
      <c r="D48" s="41" t="s">
        <v>83</v>
      </c>
      <c r="E48" s="15"/>
      <c r="F48" s="21"/>
      <c r="G48" s="41" t="s">
        <v>100</v>
      </c>
      <c r="H48" s="41"/>
      <c r="I48" s="41"/>
      <c r="J48" s="15"/>
      <c r="K48" s="44" t="s">
        <v>86</v>
      </c>
      <c r="L48" s="41"/>
      <c r="M48" s="41"/>
      <c r="N48" s="41"/>
      <c r="O48" s="15"/>
    </row>
    <row r="49" spans="2:15" x14ac:dyDescent="0.3">
      <c r="C49" s="16">
        <v>1</v>
      </c>
      <c r="D49" s="42" t="s">
        <v>87</v>
      </c>
      <c r="E49" s="29"/>
      <c r="F49" s="29" t="s">
        <v>89</v>
      </c>
      <c r="G49" s="42" t="s">
        <v>90</v>
      </c>
      <c r="H49" s="37"/>
      <c r="I49" s="37"/>
      <c r="J49" s="29"/>
      <c r="K49" s="18" t="s">
        <v>91</v>
      </c>
      <c r="L49" s="37"/>
      <c r="M49" s="18"/>
      <c r="N49" s="37"/>
      <c r="O49" s="43"/>
    </row>
    <row r="50" spans="2:15" x14ac:dyDescent="0.3">
      <c r="C50" s="16"/>
      <c r="D50" s="42" t="s">
        <v>88</v>
      </c>
      <c r="E50" s="15"/>
      <c r="F50" s="15"/>
      <c r="G50" s="42" t="s">
        <v>102</v>
      </c>
      <c r="H50" s="41"/>
      <c r="I50" s="41"/>
      <c r="J50" s="15"/>
      <c r="K50" s="44" t="s">
        <v>92</v>
      </c>
      <c r="L50" s="41"/>
      <c r="M50" s="41"/>
      <c r="N50" s="41"/>
      <c r="O50" s="15"/>
    </row>
    <row r="51" spans="2:15" x14ac:dyDescent="0.3">
      <c r="B51" s="28"/>
      <c r="C51" s="36"/>
      <c r="D51" s="36"/>
      <c r="E51" s="36"/>
      <c r="F51" s="36"/>
      <c r="G51" s="36"/>
    </row>
    <row r="52" spans="2:15" x14ac:dyDescent="0.3">
      <c r="C52" s="28"/>
      <c r="D52" s="28"/>
      <c r="F52" s="28"/>
      <c r="G52" s="28"/>
    </row>
    <row r="53" spans="2:15" x14ac:dyDescent="0.3">
      <c r="I53" s="28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Floors Calculations</vt:lpstr>
      <vt:lpstr>Floors outlets</vt:lpstr>
      <vt:lpstr>wi-fi router range</vt:lpstr>
      <vt:lpstr>Floor0 Cables</vt:lpstr>
      <vt:lpstr>Floor1 Cables</vt:lpstr>
      <vt:lpstr>Cable sizes and iventory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Érica Lopes</dc:creator>
  <cp:lastModifiedBy>Érica Lopes</cp:lastModifiedBy>
  <dcterms:created xsi:type="dcterms:W3CDTF">2022-03-13T18:12:25Z</dcterms:created>
  <dcterms:modified xsi:type="dcterms:W3CDTF">2022-03-20T21:24:00Z</dcterms:modified>
</cp:coreProperties>
</file>