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herme Cunha\IdeaProjects\rcomp-21-22-dl-g4\doc\sprint1\1201506\Building4_Inventory\"/>
    </mc:Choice>
  </mc:AlternateContent>
  <xr:revisionPtr revIDLastSave="0" documentId="13_ncr:1_{AB43C0D8-5391-432B-B13C-EA3763DE2C1C}" xr6:coauthVersionLast="47" xr6:coauthVersionMax="47" xr10:uidLastSave="{00000000-0000-0000-0000-000000000000}"/>
  <bookViews>
    <workbookView xWindow="-120" yWindow="-120" windowWidth="29040" windowHeight="15720" xr2:uid="{E5208EA4-6EB0-42EF-859C-B3A23BED93D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9" i="1" l="1"/>
  <c r="S22" i="1"/>
  <c r="S14" i="1"/>
  <c r="S23" i="1" s="1"/>
  <c r="M22" i="1" l="1"/>
  <c r="M14" i="1"/>
  <c r="I14" i="1"/>
  <c r="I13" i="1"/>
  <c r="J14" i="1"/>
  <c r="J13" i="1"/>
  <c r="J12" i="1"/>
  <c r="I12" i="1"/>
  <c r="F18" i="1" l="1"/>
  <c r="F19" i="1"/>
  <c r="F20" i="1"/>
  <c r="F21" i="1"/>
  <c r="F22" i="1"/>
  <c r="F17" i="1"/>
  <c r="D18" i="1"/>
  <c r="D19" i="1"/>
  <c r="D20" i="1"/>
  <c r="D21" i="1"/>
  <c r="D22" i="1"/>
  <c r="D17" i="1"/>
  <c r="J18" i="1"/>
  <c r="J19" i="1"/>
  <c r="J20" i="1"/>
  <c r="J21" i="1"/>
  <c r="J22" i="1"/>
  <c r="J17" i="1"/>
  <c r="J9" i="1"/>
  <c r="J10" i="1"/>
  <c r="J11" i="1"/>
  <c r="J8" i="1"/>
  <c r="I8" i="1"/>
  <c r="I11" i="1"/>
  <c r="I27" i="1"/>
  <c r="I26" i="1"/>
  <c r="H27" i="1"/>
  <c r="H26" i="1"/>
  <c r="I9" i="1"/>
  <c r="I10" i="1"/>
  <c r="I20" i="1" l="1"/>
  <c r="I19" i="1"/>
  <c r="I21" i="1"/>
  <c r="I17" i="1"/>
  <c r="I22" i="1"/>
  <c r="I18" i="1"/>
  <c r="I28" i="1"/>
  <c r="J16" i="1" s="1"/>
  <c r="H28" i="1"/>
  <c r="I16" i="1" s="1"/>
</calcChain>
</file>

<file path=xl/sharedStrings.xml><?xml version="1.0" encoding="utf-8"?>
<sst xmlns="http://schemas.openxmlformats.org/spreadsheetml/2006/main" count="90" uniqueCount="53">
  <si>
    <t>Divisões</t>
  </si>
  <si>
    <t>Largura (horizontal)</t>
  </si>
  <si>
    <t>cm</t>
  </si>
  <si>
    <t>m</t>
  </si>
  <si>
    <t>Comprimento (vertical)</t>
  </si>
  <si>
    <t>Área</t>
  </si>
  <si>
    <t>Outlets</t>
  </si>
  <si>
    <t>cm^2</t>
  </si>
  <si>
    <t>m^2</t>
  </si>
  <si>
    <t>Floor 0</t>
  </si>
  <si>
    <t>4.0.1</t>
  </si>
  <si>
    <t>4.0.2</t>
  </si>
  <si>
    <t>4.0.3</t>
  </si>
  <si>
    <t>4.0.4</t>
  </si>
  <si>
    <t>Floor 1</t>
  </si>
  <si>
    <t>Escala</t>
  </si>
  <si>
    <t>4.1.1</t>
  </si>
  <si>
    <t>4.1.2</t>
  </si>
  <si>
    <t>4.1.3</t>
  </si>
  <si>
    <t>4.1.4</t>
  </si>
  <si>
    <t>4.1.5</t>
  </si>
  <si>
    <t>4.1.6</t>
  </si>
  <si>
    <t>4.1.7</t>
  </si>
  <si>
    <t>*</t>
  </si>
  <si>
    <t>A</t>
  </si>
  <si>
    <t>B</t>
  </si>
  <si>
    <t>Área divisão 4.1.1</t>
  </si>
  <si>
    <t>Total</t>
  </si>
  <si>
    <t>4.0.5</t>
  </si>
  <si>
    <t>4.0.6</t>
  </si>
  <si>
    <t>4.0.7</t>
  </si>
  <si>
    <t>Piso 0</t>
  </si>
  <si>
    <t>Piso 1</t>
  </si>
  <si>
    <t>IC</t>
  </si>
  <si>
    <t>HC</t>
  </si>
  <si>
    <t>CP</t>
  </si>
  <si>
    <t>Access Points</t>
  </si>
  <si>
    <t>Pisos</t>
  </si>
  <si>
    <t>Fibra ótica(m)</t>
  </si>
  <si>
    <t>Copper Cables CAT6 (m)</t>
  </si>
  <si>
    <t>Copper Cables CAT7 (m)</t>
  </si>
  <si>
    <t>Equipamentos</t>
  </si>
  <si>
    <t>Floor</t>
  </si>
  <si>
    <t>Cooper CAT6A Patch Panels</t>
  </si>
  <si>
    <t>Cooper CAT7 Patch Panels</t>
  </si>
  <si>
    <t>Optical Fibre Patch Panels</t>
  </si>
  <si>
    <t>Number of Switches</t>
  </si>
  <si>
    <t>Telecommunication Enclosures (U units)</t>
  </si>
  <si>
    <t>1 (24 connectors) on IC from division  4.0.5</t>
  </si>
  <si>
    <t>2 telecommunication enclosures of 19" and 9U to store the CP's and 1 of 19" and 42U toi store the HC and IC</t>
  </si>
  <si>
    <t>3 telecommunication enclosures of 19" and 9U to store the CP's and 1 of 19" and 42U toi store the CP's and IC</t>
  </si>
  <si>
    <t>3(24 connectors) on CP's from room 4.1.5 4.1.2 and HC from room 4.1.6</t>
  </si>
  <si>
    <t>3(24 connectors) on CP's from room 4.0.1  4.0.3 and HC from room 4.0.5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</si>
</sst>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7" borderId="1" xfId="1" applyBorder="1" applyAlignment="1">
      <alignment horizontal="center"/>
    </xf>
    <xf numFmtId="0" fontId="2" fillId="8" borderId="1" xfId="2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9" borderId="1" xfId="3" applyBorder="1" applyAlignment="1">
      <alignment horizontal="center"/>
    </xf>
    <xf numFmtId="0" fontId="0" fillId="0" borderId="1" xfId="0" applyBorder="1" applyAlignment="1">
      <alignment horizontal="center"/>
    </xf>
    <xf numFmtId="0" fontId="2" fillId="10" borderId="1" xfId="1" applyFill="1" applyBorder="1" applyAlignment="1">
      <alignment horizontal="center"/>
    </xf>
    <xf numFmtId="0" fontId="2" fillId="7" borderId="1" xfId="1" applyBorder="1" applyAlignment="1">
      <alignment horizontal="center"/>
    </xf>
    <xf numFmtId="0" fontId="2" fillId="8" borderId="1" xfId="2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left" vertical="top" wrapText="1" shrinkToFit="1"/>
    </xf>
    <xf numFmtId="0" fontId="0" fillId="0" borderId="3" xfId="0" applyFont="1" applyBorder="1" applyAlignment="1">
      <alignment horizontal="left" vertical="top" wrapText="1" shrinkToFit="1"/>
    </xf>
    <xf numFmtId="0" fontId="0" fillId="0" borderId="4" xfId="0" applyFont="1" applyBorder="1" applyAlignment="1">
      <alignment horizontal="left" vertical="top" wrapText="1" shrinkToFit="1"/>
    </xf>
    <xf numFmtId="0" fontId="0" fillId="0" borderId="5" xfId="0" applyFont="1" applyBorder="1" applyAlignment="1">
      <alignment horizontal="left" vertical="top" wrapText="1" shrinkToFit="1"/>
    </xf>
    <xf numFmtId="0" fontId="0" fillId="0" borderId="11" xfId="0" applyFont="1" applyBorder="1" applyAlignment="1">
      <alignment horizontal="left" vertical="top" wrapText="1" shrinkToFit="1"/>
    </xf>
    <xf numFmtId="0" fontId="0" fillId="0" borderId="6" xfId="0" applyFont="1" applyBorder="1" applyAlignment="1">
      <alignment horizontal="left" vertical="top" wrapText="1" shrinkToFit="1"/>
    </xf>
    <xf numFmtId="0" fontId="0" fillId="0" borderId="1" xfId="0" applyBorder="1" applyAlignment="1">
      <alignment horizontal="left" vertical="top" wrapText="1"/>
    </xf>
    <xf numFmtId="0" fontId="2" fillId="10" borderId="0" xfId="1" applyFill="1" applyBorder="1" applyAlignment="1">
      <alignment horizontal="center"/>
    </xf>
    <xf numFmtId="0" fontId="2" fillId="7" borderId="0" xfId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4">
    <cellStyle name="40% - Cor5" xfId="1" builtinId="47"/>
    <cellStyle name="40% - Cor6" xfId="3" builtinId="51"/>
    <cellStyle name="60% - Cor5" xfId="2" builtinId="4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3875-0CC2-4FB9-9B93-0DD94BA632F4}">
  <dimension ref="B2:AK29"/>
  <sheetViews>
    <sheetView tabSelected="1" zoomScale="69" zoomScaleNormal="69" workbookViewId="0">
      <selection activeCell="Y28" sqref="Y28:AB29"/>
    </sheetView>
  </sheetViews>
  <sheetFormatPr defaultRowHeight="15" x14ac:dyDescent="0.25"/>
  <sheetData>
    <row r="2" spans="2:25" x14ac:dyDescent="0.25">
      <c r="B2" s="1"/>
      <c r="C2" s="6" t="s">
        <v>2</v>
      </c>
      <c r="D2" s="6" t="s">
        <v>3</v>
      </c>
    </row>
    <row r="3" spans="2:25" x14ac:dyDescent="0.25">
      <c r="B3" s="7" t="s">
        <v>15</v>
      </c>
      <c r="C3" s="4">
        <v>2.8</v>
      </c>
      <c r="D3" s="4">
        <v>5</v>
      </c>
    </row>
    <row r="5" spans="2:25" x14ac:dyDescent="0.25">
      <c r="B5" s="30" t="s">
        <v>0</v>
      </c>
      <c r="C5" s="31"/>
      <c r="D5" s="34" t="s">
        <v>1</v>
      </c>
      <c r="E5" s="35"/>
      <c r="F5" s="34" t="s">
        <v>4</v>
      </c>
      <c r="G5" s="36"/>
      <c r="H5" s="35"/>
      <c r="I5" s="34" t="s">
        <v>5</v>
      </c>
      <c r="J5" s="35"/>
      <c r="K5" s="37" t="s">
        <v>6</v>
      </c>
      <c r="L5" s="38"/>
    </row>
    <row r="6" spans="2:25" x14ac:dyDescent="0.25">
      <c r="B6" s="32"/>
      <c r="C6" s="33"/>
      <c r="D6" s="11" t="s">
        <v>2</v>
      </c>
      <c r="E6" s="11" t="s">
        <v>3</v>
      </c>
      <c r="F6" s="11" t="s">
        <v>2</v>
      </c>
      <c r="G6" s="21" t="s">
        <v>3</v>
      </c>
      <c r="H6" s="21"/>
      <c r="I6" s="11" t="s">
        <v>7</v>
      </c>
      <c r="J6" s="11" t="s">
        <v>8</v>
      </c>
      <c r="K6" s="39"/>
      <c r="L6" s="40"/>
      <c r="O6" s="14" t="s">
        <v>0</v>
      </c>
      <c r="P6" s="25" t="s">
        <v>39</v>
      </c>
      <c r="Q6" s="25"/>
      <c r="R6" s="25"/>
      <c r="U6" s="15" t="s">
        <v>37</v>
      </c>
      <c r="V6" s="22" t="s">
        <v>40</v>
      </c>
      <c r="W6" s="22"/>
      <c r="X6" s="22"/>
      <c r="Y6" s="61"/>
    </row>
    <row r="7" spans="2:25" x14ac:dyDescent="0.25">
      <c r="B7" s="41" t="s">
        <v>9</v>
      </c>
      <c r="C7" s="42"/>
      <c r="D7" s="42"/>
      <c r="E7" s="42"/>
      <c r="F7" s="42"/>
      <c r="G7" s="42"/>
      <c r="H7" s="42"/>
      <c r="I7" s="42"/>
      <c r="J7" s="42"/>
      <c r="K7" s="42"/>
      <c r="L7" s="43"/>
      <c r="O7" s="26" t="s">
        <v>9</v>
      </c>
      <c r="P7" s="26"/>
      <c r="Q7" s="26"/>
      <c r="R7" s="26"/>
      <c r="U7" s="16" t="s">
        <v>31</v>
      </c>
      <c r="V7" s="21">
        <v>27.4</v>
      </c>
      <c r="W7" s="21"/>
      <c r="X7" s="21"/>
      <c r="Y7" s="2"/>
    </row>
    <row r="8" spans="2:25" x14ac:dyDescent="0.25">
      <c r="B8" s="29" t="s">
        <v>10</v>
      </c>
      <c r="C8" s="29"/>
      <c r="D8" s="4">
        <v>3.56</v>
      </c>
      <c r="E8" s="4">
        <v>6.35</v>
      </c>
      <c r="F8" s="4">
        <v>2.8</v>
      </c>
      <c r="G8" s="21">
        <v>5</v>
      </c>
      <c r="H8" s="21"/>
      <c r="I8" s="4">
        <f>ROUND(IMPRODUCT(D8,F8),2)</f>
        <v>9.9700000000000006</v>
      </c>
      <c r="J8" s="17">
        <f>ROUND(IMPRODUCT(E8,G8),2)</f>
        <v>31.75</v>
      </c>
      <c r="K8" s="44">
        <v>8</v>
      </c>
      <c r="L8" s="45"/>
      <c r="O8" s="14" t="s">
        <v>10</v>
      </c>
      <c r="P8" s="21">
        <v>9.3000000000000007</v>
      </c>
      <c r="Q8" s="21"/>
      <c r="R8" s="21"/>
      <c r="U8" s="16" t="s">
        <v>32</v>
      </c>
      <c r="V8" s="21">
        <v>22.8</v>
      </c>
      <c r="W8" s="21"/>
      <c r="X8" s="21"/>
      <c r="Y8" s="2"/>
    </row>
    <row r="9" spans="2:25" x14ac:dyDescent="0.25">
      <c r="B9" s="29" t="s">
        <v>11</v>
      </c>
      <c r="C9" s="29"/>
      <c r="D9" s="4">
        <v>4.09</v>
      </c>
      <c r="E9" s="4">
        <v>7.31</v>
      </c>
      <c r="F9" s="4">
        <v>1.67</v>
      </c>
      <c r="G9" s="21">
        <v>2.98</v>
      </c>
      <c r="H9" s="21"/>
      <c r="I9" s="4">
        <f t="shared" ref="I9:I10" si="0">ROUND(IMPRODUCT(D9,F9),2)</f>
        <v>6.83</v>
      </c>
      <c r="J9" s="17">
        <f t="shared" ref="J9:J10" si="1">ROUND(IMPRODUCT(E9,G9),2)</f>
        <v>21.78</v>
      </c>
      <c r="K9" s="44">
        <v>6</v>
      </c>
      <c r="L9" s="45"/>
      <c r="O9" s="14" t="s">
        <v>11</v>
      </c>
      <c r="P9" s="21">
        <v>8.1999999999999993</v>
      </c>
      <c r="Q9" s="21"/>
      <c r="R9" s="21"/>
      <c r="U9" s="20" t="s">
        <v>27</v>
      </c>
      <c r="V9" s="21">
        <f>SUM(V7:X8)</f>
        <v>50.2</v>
      </c>
      <c r="W9" s="21"/>
      <c r="X9" s="21"/>
      <c r="Y9" s="2"/>
    </row>
    <row r="10" spans="2:25" x14ac:dyDescent="0.25">
      <c r="B10" s="29" t="s">
        <v>12</v>
      </c>
      <c r="C10" s="29"/>
      <c r="D10" s="4">
        <v>4.09</v>
      </c>
      <c r="E10" s="4">
        <v>7.31</v>
      </c>
      <c r="F10" s="4">
        <v>1.67</v>
      </c>
      <c r="G10" s="21">
        <v>2.98</v>
      </c>
      <c r="H10" s="21"/>
      <c r="I10" s="4">
        <f t="shared" si="0"/>
        <v>6.83</v>
      </c>
      <c r="J10" s="17">
        <f t="shared" si="1"/>
        <v>21.78</v>
      </c>
      <c r="K10" s="44">
        <v>6</v>
      </c>
      <c r="L10" s="45"/>
      <c r="O10" s="14" t="s">
        <v>12</v>
      </c>
      <c r="P10" s="21">
        <v>19</v>
      </c>
      <c r="Q10" s="21"/>
      <c r="R10" s="21"/>
    </row>
    <row r="11" spans="2:25" x14ac:dyDescent="0.25">
      <c r="B11" s="29" t="s">
        <v>13</v>
      </c>
      <c r="C11" s="29"/>
      <c r="D11" s="9">
        <v>4.09</v>
      </c>
      <c r="E11" s="9">
        <v>7.31</v>
      </c>
      <c r="F11" s="9">
        <v>3.19</v>
      </c>
      <c r="G11" s="47">
        <v>5.69</v>
      </c>
      <c r="H11" s="47"/>
      <c r="I11" s="9">
        <f t="shared" ref="I11:J14" si="2">ROUND(IMPRODUCT(D11,F11),2)</f>
        <v>13.05</v>
      </c>
      <c r="J11" s="18">
        <f t="shared" si="2"/>
        <v>41.59</v>
      </c>
      <c r="K11" s="27">
        <v>10</v>
      </c>
      <c r="L11" s="46"/>
      <c r="O11" s="14" t="s">
        <v>13</v>
      </c>
      <c r="P11" s="21">
        <v>11.6</v>
      </c>
      <c r="Q11" s="21"/>
      <c r="R11" s="21"/>
    </row>
    <row r="12" spans="2:25" x14ac:dyDescent="0.25">
      <c r="B12" s="29" t="s">
        <v>28</v>
      </c>
      <c r="C12" s="29"/>
      <c r="D12" s="4">
        <v>4.03</v>
      </c>
      <c r="E12" s="4">
        <v>7.02</v>
      </c>
      <c r="F12" s="4">
        <v>2.86</v>
      </c>
      <c r="G12" s="44">
        <v>5.0999999999999996</v>
      </c>
      <c r="H12" s="45"/>
      <c r="I12" s="4">
        <f t="shared" si="2"/>
        <v>11.53</v>
      </c>
      <c r="J12" s="19">
        <f t="shared" si="2"/>
        <v>35.799999999999997</v>
      </c>
      <c r="K12" s="44">
        <v>0</v>
      </c>
      <c r="L12" s="45"/>
      <c r="O12" s="14" t="s">
        <v>28</v>
      </c>
      <c r="P12" s="21">
        <v>0</v>
      </c>
      <c r="Q12" s="21"/>
      <c r="R12" s="21"/>
      <c r="U12" s="23" t="s">
        <v>41</v>
      </c>
      <c r="V12" s="23"/>
      <c r="W12" s="15" t="s">
        <v>31</v>
      </c>
      <c r="X12" s="15" t="s">
        <v>32</v>
      </c>
      <c r="Y12" s="62"/>
    </row>
    <row r="13" spans="2:25" x14ac:dyDescent="0.25">
      <c r="B13" s="29" t="s">
        <v>29</v>
      </c>
      <c r="C13" s="29"/>
      <c r="D13" s="9">
        <v>1.55</v>
      </c>
      <c r="E13" s="9">
        <v>2.77</v>
      </c>
      <c r="F13" s="9">
        <v>2.04</v>
      </c>
      <c r="G13" s="44">
        <v>3.65</v>
      </c>
      <c r="H13" s="45"/>
      <c r="I13" s="9">
        <f t="shared" si="2"/>
        <v>3.16</v>
      </c>
      <c r="J13" s="18">
        <f t="shared" si="2"/>
        <v>10.11</v>
      </c>
      <c r="K13" s="44">
        <v>4</v>
      </c>
      <c r="L13" s="45"/>
      <c r="M13" s="11" t="s">
        <v>27</v>
      </c>
      <c r="O13" s="14" t="s">
        <v>29</v>
      </c>
      <c r="P13" s="21">
        <v>3.2</v>
      </c>
      <c r="Q13" s="21"/>
      <c r="R13" s="21"/>
      <c r="S13" s="13" t="s">
        <v>27</v>
      </c>
      <c r="U13" s="24" t="s">
        <v>33</v>
      </c>
      <c r="V13" s="24"/>
      <c r="W13" s="13">
        <v>1</v>
      </c>
      <c r="X13" s="13">
        <v>0</v>
      </c>
      <c r="Y13" s="2"/>
    </row>
    <row r="14" spans="2:25" x14ac:dyDescent="0.25">
      <c r="B14" s="29" t="s">
        <v>30</v>
      </c>
      <c r="C14" s="29"/>
      <c r="D14" s="11">
        <v>1.55</v>
      </c>
      <c r="E14" s="11">
        <v>2.77</v>
      </c>
      <c r="F14" s="4">
        <v>1.94</v>
      </c>
      <c r="G14" s="44">
        <v>3.46</v>
      </c>
      <c r="H14" s="45"/>
      <c r="I14" s="4">
        <f t="shared" si="2"/>
        <v>3.01</v>
      </c>
      <c r="J14" s="19">
        <f t="shared" si="2"/>
        <v>9.58</v>
      </c>
      <c r="K14" s="44">
        <v>2</v>
      </c>
      <c r="L14" s="45"/>
      <c r="M14" s="11">
        <f>SUM(K8:L14)</f>
        <v>36</v>
      </c>
      <c r="O14" s="14" t="s">
        <v>30</v>
      </c>
      <c r="P14" s="21">
        <v>1</v>
      </c>
      <c r="Q14" s="21"/>
      <c r="R14" s="21"/>
      <c r="S14" s="13">
        <f>SUM(P8:R14)</f>
        <v>52.300000000000004</v>
      </c>
      <c r="U14" s="24" t="s">
        <v>34</v>
      </c>
      <c r="V14" s="24"/>
      <c r="W14" s="13">
        <v>1</v>
      </c>
      <c r="X14" s="13">
        <v>1</v>
      </c>
      <c r="Y14" s="2"/>
    </row>
    <row r="15" spans="2:25" x14ac:dyDescent="0.25">
      <c r="B15" s="41" t="s">
        <v>14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  <c r="O15" s="26" t="s">
        <v>14</v>
      </c>
      <c r="P15" s="26"/>
      <c r="Q15" s="26"/>
      <c r="R15" s="26"/>
      <c r="S15" s="1"/>
      <c r="U15" s="24" t="s">
        <v>35</v>
      </c>
      <c r="V15" s="24"/>
      <c r="W15" s="13">
        <v>2</v>
      </c>
      <c r="X15" s="13">
        <v>2</v>
      </c>
      <c r="Y15" s="2"/>
    </row>
    <row r="16" spans="2:25" x14ac:dyDescent="0.25">
      <c r="B16" s="29" t="s">
        <v>16</v>
      </c>
      <c r="C16" s="29"/>
      <c r="D16" s="11" t="s">
        <v>23</v>
      </c>
      <c r="E16" s="11" t="s">
        <v>23</v>
      </c>
      <c r="F16" s="11" t="s">
        <v>23</v>
      </c>
      <c r="G16" s="21" t="s">
        <v>23</v>
      </c>
      <c r="H16" s="21"/>
      <c r="I16" s="11">
        <f>H28</f>
        <v>13.969999999999999</v>
      </c>
      <c r="J16" s="19">
        <f>I28</f>
        <v>44.53</v>
      </c>
      <c r="K16" s="21">
        <v>10</v>
      </c>
      <c r="L16" s="21"/>
      <c r="O16" s="14" t="s">
        <v>16</v>
      </c>
      <c r="P16" s="21">
        <v>16.2</v>
      </c>
      <c r="Q16" s="21"/>
      <c r="R16" s="21"/>
      <c r="S16" s="1"/>
      <c r="U16" s="24" t="s">
        <v>36</v>
      </c>
      <c r="V16" s="24"/>
      <c r="W16" s="13">
        <v>1</v>
      </c>
      <c r="X16" s="13">
        <v>1</v>
      </c>
      <c r="Y16" s="2"/>
    </row>
    <row r="17" spans="2:37" x14ac:dyDescent="0.25">
      <c r="B17" s="29" t="s">
        <v>17</v>
      </c>
      <c r="C17" s="29"/>
      <c r="D17" s="11">
        <f>ROUND(IMDIV(IMPRODUCT(E17,2.8),5),2)</f>
        <v>3.25</v>
      </c>
      <c r="E17" s="11">
        <v>5.81</v>
      </c>
      <c r="F17" s="11">
        <f>ROUND(IMDIV(IMPRODUCT(G17,2.8),5),2)</f>
        <v>1.79</v>
      </c>
      <c r="G17" s="21">
        <v>3.19</v>
      </c>
      <c r="H17" s="21"/>
      <c r="I17" s="11">
        <f>ROUND(IMPRODUCT(D17,F17),2)</f>
        <v>5.82</v>
      </c>
      <c r="J17" s="19">
        <f>ROUND(IMPRODUCT(E17,G17),2)</f>
        <v>18.53</v>
      </c>
      <c r="K17" s="21">
        <v>4</v>
      </c>
      <c r="L17" s="21"/>
      <c r="O17" s="14" t="s">
        <v>17</v>
      </c>
      <c r="P17" s="21">
        <v>18.600000000000001</v>
      </c>
      <c r="Q17" s="21"/>
      <c r="R17" s="21"/>
      <c r="S17" s="1"/>
    </row>
    <row r="18" spans="2:37" x14ac:dyDescent="0.25">
      <c r="B18" s="29" t="s">
        <v>18</v>
      </c>
      <c r="C18" s="29"/>
      <c r="D18" s="11">
        <f t="shared" ref="D18:D22" si="3">ROUND(IMDIV(IMPRODUCT(E18,2.8),5),2)</f>
        <v>3.49</v>
      </c>
      <c r="E18" s="11">
        <v>6.23</v>
      </c>
      <c r="F18" s="11">
        <f t="shared" ref="F18:F22" si="4">ROUND(IMDIV(IMPRODUCT(G18,2.8),5),2)</f>
        <v>1.33</v>
      </c>
      <c r="G18" s="21">
        <v>2.38</v>
      </c>
      <c r="H18" s="21"/>
      <c r="I18" s="11">
        <f t="shared" ref="I18:I22" si="5">ROUND(IMPRODUCT(D18,F18),2)</f>
        <v>4.6399999999999997</v>
      </c>
      <c r="J18" s="19">
        <f>ROUND(IMPRODUCT(E18,G18),2)</f>
        <v>14.83</v>
      </c>
      <c r="K18" s="21">
        <v>4</v>
      </c>
      <c r="L18" s="21"/>
      <c r="O18" s="14" t="s">
        <v>18</v>
      </c>
      <c r="P18" s="21">
        <v>18.5</v>
      </c>
      <c r="Q18" s="21"/>
      <c r="R18" s="21"/>
      <c r="S18" s="1"/>
    </row>
    <row r="19" spans="2:37" x14ac:dyDescent="0.25">
      <c r="B19" s="29" t="s">
        <v>19</v>
      </c>
      <c r="C19" s="29"/>
      <c r="D19" s="11">
        <f t="shared" si="3"/>
        <v>3.25</v>
      </c>
      <c r="E19" s="11">
        <v>5.81</v>
      </c>
      <c r="F19" s="11">
        <f t="shared" si="4"/>
        <v>1.57</v>
      </c>
      <c r="G19" s="21">
        <v>2.81</v>
      </c>
      <c r="H19" s="21"/>
      <c r="I19" s="11">
        <f t="shared" si="5"/>
        <v>5.0999999999999996</v>
      </c>
      <c r="J19" s="19">
        <f>ROUND(IMPRODUCT(E19,G19),2)</f>
        <v>16.329999999999998</v>
      </c>
      <c r="K19" s="21">
        <v>4</v>
      </c>
      <c r="L19" s="21"/>
      <c r="O19" s="14" t="s">
        <v>19</v>
      </c>
      <c r="P19" s="21">
        <v>10.199999999999999</v>
      </c>
      <c r="Q19" s="21"/>
      <c r="R19" s="21"/>
      <c r="S19" s="1"/>
      <c r="V19" s="23" t="s">
        <v>38</v>
      </c>
      <c r="W19" s="23"/>
    </row>
    <row r="20" spans="2:37" x14ac:dyDescent="0.25">
      <c r="B20" s="29" t="s">
        <v>20</v>
      </c>
      <c r="C20" s="29"/>
      <c r="D20" s="11">
        <f t="shared" si="3"/>
        <v>3.49</v>
      </c>
      <c r="E20" s="11">
        <v>6.23</v>
      </c>
      <c r="F20" s="11">
        <f t="shared" si="4"/>
        <v>1.33</v>
      </c>
      <c r="G20" s="21">
        <v>2.38</v>
      </c>
      <c r="H20" s="21"/>
      <c r="I20" s="11">
        <f t="shared" si="5"/>
        <v>4.6399999999999997</v>
      </c>
      <c r="J20" s="19">
        <f>ROUND(IMPRODUCT(E20,G20),2)</f>
        <v>14.83</v>
      </c>
      <c r="K20" s="21">
        <v>4</v>
      </c>
      <c r="L20" s="21"/>
      <c r="O20" s="14" t="s">
        <v>20</v>
      </c>
      <c r="P20" s="21">
        <v>14.3</v>
      </c>
      <c r="Q20" s="21"/>
      <c r="R20" s="21"/>
      <c r="S20" s="1"/>
      <c r="U20" s="16" t="s">
        <v>31</v>
      </c>
      <c r="V20" s="21">
        <v>19.75</v>
      </c>
      <c r="W20" s="21"/>
    </row>
    <row r="21" spans="2:37" x14ac:dyDescent="0.25">
      <c r="B21" s="29" t="s">
        <v>21</v>
      </c>
      <c r="C21" s="29"/>
      <c r="D21" s="11">
        <f t="shared" si="3"/>
        <v>1.36</v>
      </c>
      <c r="E21" s="11">
        <v>2.42</v>
      </c>
      <c r="F21" s="11">
        <f t="shared" si="4"/>
        <v>0.91</v>
      </c>
      <c r="G21" s="21">
        <v>1.62</v>
      </c>
      <c r="H21" s="21"/>
      <c r="I21" s="11">
        <f t="shared" si="5"/>
        <v>1.24</v>
      </c>
      <c r="J21" s="19">
        <f>ROUND(IMPRODUCT(E21,G21),2)</f>
        <v>3.92</v>
      </c>
      <c r="K21" s="21">
        <v>0</v>
      </c>
      <c r="L21" s="21"/>
      <c r="M21" s="11" t="s">
        <v>27</v>
      </c>
      <c r="O21" s="14" t="s">
        <v>21</v>
      </c>
      <c r="P21" s="21">
        <v>0</v>
      </c>
      <c r="Q21" s="21"/>
      <c r="R21" s="21"/>
      <c r="S21" s="13" t="s">
        <v>27</v>
      </c>
    </row>
    <row r="22" spans="2:37" x14ac:dyDescent="0.25">
      <c r="B22" s="29" t="s">
        <v>22</v>
      </c>
      <c r="C22" s="29"/>
      <c r="D22" s="11">
        <f t="shared" si="3"/>
        <v>3.47</v>
      </c>
      <c r="E22" s="11">
        <v>6.19</v>
      </c>
      <c r="F22" s="11">
        <f t="shared" si="4"/>
        <v>2.59</v>
      </c>
      <c r="G22" s="21">
        <v>4.62</v>
      </c>
      <c r="H22" s="21"/>
      <c r="I22" s="11">
        <f t="shared" si="5"/>
        <v>8.99</v>
      </c>
      <c r="J22" s="19">
        <f>ROUND(IMPRODUCT(E22,G22),2)</f>
        <v>28.6</v>
      </c>
      <c r="K22" s="21">
        <v>6</v>
      </c>
      <c r="L22" s="21"/>
      <c r="M22" s="11">
        <f>SUM(K16:L22)</f>
        <v>32</v>
      </c>
      <c r="O22" s="14" t="s">
        <v>22</v>
      </c>
      <c r="P22" s="21">
        <v>15.2</v>
      </c>
      <c r="Q22" s="21"/>
      <c r="R22" s="21"/>
      <c r="S22" s="13">
        <f>SUM(P16:R22)</f>
        <v>93</v>
      </c>
    </row>
    <row r="23" spans="2:37" x14ac:dyDescent="0.25">
      <c r="B23" s="28"/>
      <c r="C23" s="28"/>
      <c r="R23" s="13" t="s">
        <v>27</v>
      </c>
      <c r="S23" s="13">
        <f>SUM(S14,S22)</f>
        <v>145.30000000000001</v>
      </c>
    </row>
    <row r="24" spans="2:37" x14ac:dyDescent="0.25">
      <c r="J24" s="10"/>
    </row>
    <row r="25" spans="2:37" x14ac:dyDescent="0.25">
      <c r="B25" s="3"/>
      <c r="C25" s="48" t="s">
        <v>26</v>
      </c>
      <c r="D25" s="49"/>
      <c r="E25" s="49"/>
      <c r="F25" s="49"/>
      <c r="G25" s="49"/>
      <c r="H25" s="49"/>
      <c r="I25" s="50"/>
      <c r="L25" s="51" t="s">
        <v>42</v>
      </c>
      <c r="M25" s="25" t="s">
        <v>43</v>
      </c>
      <c r="N25" s="25"/>
      <c r="O25" s="25"/>
      <c r="P25" s="25"/>
      <c r="Q25" s="25" t="s">
        <v>44</v>
      </c>
      <c r="R25" s="25"/>
      <c r="S25" s="25"/>
      <c r="T25" s="25"/>
      <c r="U25" s="25" t="s">
        <v>45</v>
      </c>
      <c r="V25" s="25"/>
      <c r="W25" s="25"/>
      <c r="X25" s="25"/>
      <c r="Y25" s="63" t="s">
        <v>46</v>
      </c>
      <c r="Z25" s="64"/>
      <c r="AA25" s="64"/>
      <c r="AB25" s="65"/>
      <c r="AC25" s="25" t="s">
        <v>47</v>
      </c>
      <c r="AD25" s="25"/>
      <c r="AE25" s="25"/>
      <c r="AF25" s="25"/>
      <c r="AG25" s="25"/>
      <c r="AH25" s="25"/>
    </row>
    <row r="26" spans="2:37" x14ac:dyDescent="0.25">
      <c r="B26" s="12" t="s">
        <v>24</v>
      </c>
      <c r="C26" s="8">
        <v>1.94</v>
      </c>
      <c r="D26" s="4">
        <v>3.46</v>
      </c>
      <c r="E26" s="4">
        <v>2.0299999999999998</v>
      </c>
      <c r="F26" s="44">
        <v>3.62</v>
      </c>
      <c r="G26" s="45"/>
      <c r="H26" s="4">
        <f>ROUND(IMPRODUCT(C26,E26),2)</f>
        <v>3.94</v>
      </c>
      <c r="I26" s="4">
        <f>ROUND(IMPRODUCT(D26,F26),2)</f>
        <v>12.53</v>
      </c>
      <c r="J26" s="2"/>
      <c r="L26" s="53">
        <v>0</v>
      </c>
      <c r="M26" s="60" t="s">
        <v>52</v>
      </c>
      <c r="N26" s="60"/>
      <c r="O26" s="60"/>
      <c r="P26" s="60"/>
      <c r="Q26" s="60" t="s">
        <v>52</v>
      </c>
      <c r="R26" s="60"/>
      <c r="S26" s="60"/>
      <c r="T26" s="60"/>
      <c r="U26" s="60" t="s">
        <v>48</v>
      </c>
      <c r="V26" s="60"/>
      <c r="W26" s="60"/>
      <c r="X26" s="60"/>
      <c r="Y26" s="66" t="s">
        <v>52</v>
      </c>
      <c r="Z26" s="67"/>
      <c r="AA26" s="67"/>
      <c r="AB26" s="68"/>
      <c r="AC26" s="54" t="s">
        <v>49</v>
      </c>
      <c r="AD26" s="55"/>
      <c r="AE26" s="55"/>
      <c r="AF26" s="55"/>
      <c r="AG26" s="55"/>
      <c r="AH26" s="56"/>
      <c r="AI26" s="52"/>
      <c r="AJ26" s="52"/>
      <c r="AK26" s="52"/>
    </row>
    <row r="27" spans="2:37" x14ac:dyDescent="0.25">
      <c r="B27" s="12" t="s">
        <v>25</v>
      </c>
      <c r="C27" s="4">
        <v>4.5199999999999996</v>
      </c>
      <c r="D27" s="4">
        <v>8.08</v>
      </c>
      <c r="E27" s="4">
        <v>2.2200000000000002</v>
      </c>
      <c r="F27" s="44">
        <v>3.96</v>
      </c>
      <c r="G27" s="45"/>
      <c r="H27" s="4">
        <f>ROUND(IMPRODUCT(C27,E27),2)</f>
        <v>10.029999999999999</v>
      </c>
      <c r="I27" s="4">
        <f>ROUND(IMPRODUCT(D27,F27),2)</f>
        <v>32</v>
      </c>
      <c r="J27" s="3"/>
      <c r="L27" s="53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9"/>
      <c r="Z27" s="70"/>
      <c r="AA27" s="70"/>
      <c r="AB27" s="71"/>
      <c r="AC27" s="57"/>
      <c r="AD27" s="58"/>
      <c r="AE27" s="58"/>
      <c r="AF27" s="58"/>
      <c r="AG27" s="58"/>
      <c r="AH27" s="59"/>
      <c r="AI27" s="52"/>
      <c r="AJ27" s="52"/>
      <c r="AK27" s="52"/>
    </row>
    <row r="28" spans="2:37" x14ac:dyDescent="0.25">
      <c r="B28" s="3"/>
      <c r="C28" s="3"/>
      <c r="D28" s="3"/>
      <c r="E28" s="3"/>
      <c r="F28" s="3"/>
      <c r="G28" s="5" t="s">
        <v>27</v>
      </c>
      <c r="H28" s="5">
        <f>SUM(H26:H27)</f>
        <v>13.969999999999999</v>
      </c>
      <c r="I28" s="5">
        <f>SUM(I26:I27)</f>
        <v>44.53</v>
      </c>
      <c r="L28" s="53">
        <v>1</v>
      </c>
      <c r="M28" s="60" t="s">
        <v>51</v>
      </c>
      <c r="N28" s="60"/>
      <c r="O28" s="60"/>
      <c r="P28" s="60"/>
      <c r="Q28" s="60" t="s">
        <v>51</v>
      </c>
      <c r="R28" s="60"/>
      <c r="S28" s="60"/>
      <c r="T28" s="60"/>
      <c r="U28" s="53">
        <v>0</v>
      </c>
      <c r="V28" s="53"/>
      <c r="W28" s="53"/>
      <c r="X28" s="53"/>
      <c r="Y28" s="72" t="s">
        <v>51</v>
      </c>
      <c r="Z28" s="73"/>
      <c r="AA28" s="73"/>
      <c r="AB28" s="74"/>
      <c r="AC28" s="60" t="s">
        <v>50</v>
      </c>
      <c r="AD28" s="60"/>
      <c r="AE28" s="60"/>
      <c r="AF28" s="60"/>
      <c r="AG28" s="60"/>
      <c r="AH28" s="60"/>
    </row>
    <row r="29" spans="2:37" x14ac:dyDescent="0.25">
      <c r="L29" s="53"/>
      <c r="M29" s="60"/>
      <c r="N29" s="60"/>
      <c r="O29" s="60"/>
      <c r="P29" s="60"/>
      <c r="Q29" s="60"/>
      <c r="R29" s="60"/>
      <c r="S29" s="60"/>
      <c r="T29" s="60"/>
      <c r="U29" s="53"/>
      <c r="V29" s="53"/>
      <c r="W29" s="53"/>
      <c r="X29" s="53"/>
      <c r="Y29" s="75"/>
      <c r="Z29" s="76"/>
      <c r="AA29" s="76"/>
      <c r="AB29" s="77"/>
      <c r="AC29" s="60"/>
      <c r="AD29" s="60"/>
      <c r="AE29" s="60"/>
      <c r="AF29" s="60"/>
      <c r="AG29" s="60"/>
      <c r="AH29" s="60"/>
    </row>
  </sheetData>
  <mergeCells count="99">
    <mergeCell ref="Y28:AB29"/>
    <mergeCell ref="L26:L27"/>
    <mergeCell ref="L28:L29"/>
    <mergeCell ref="M25:P25"/>
    <mergeCell ref="Q25:T25"/>
    <mergeCell ref="U25:X25"/>
    <mergeCell ref="AC25:AH25"/>
    <mergeCell ref="M26:P27"/>
    <mergeCell ref="Q26:T27"/>
    <mergeCell ref="U26:X27"/>
    <mergeCell ref="Y26:AB27"/>
    <mergeCell ref="AC26:AH27"/>
    <mergeCell ref="M28:P29"/>
    <mergeCell ref="Q28:T29"/>
    <mergeCell ref="U28:X29"/>
    <mergeCell ref="AC28:AH29"/>
    <mergeCell ref="Y25:AB25"/>
    <mergeCell ref="B14:C14"/>
    <mergeCell ref="G14:H14"/>
    <mergeCell ref="K14:L14"/>
    <mergeCell ref="B12:C12"/>
    <mergeCell ref="G12:H12"/>
    <mergeCell ref="F26:G26"/>
    <mergeCell ref="F27:G27"/>
    <mergeCell ref="C25:I25"/>
    <mergeCell ref="K17:L17"/>
    <mergeCell ref="K18:L18"/>
    <mergeCell ref="K19:L19"/>
    <mergeCell ref="K20:L20"/>
    <mergeCell ref="K21:L21"/>
    <mergeCell ref="K22:L22"/>
    <mergeCell ref="B23:C23"/>
    <mergeCell ref="G21:H21"/>
    <mergeCell ref="G22:H22"/>
    <mergeCell ref="B17:C17"/>
    <mergeCell ref="B18:C18"/>
    <mergeCell ref="B19:C19"/>
    <mergeCell ref="B20:C20"/>
    <mergeCell ref="B10:C10"/>
    <mergeCell ref="G8:H8"/>
    <mergeCell ref="G9:H9"/>
    <mergeCell ref="G10:H10"/>
    <mergeCell ref="B21:C21"/>
    <mergeCell ref="B22:C22"/>
    <mergeCell ref="K8:L8"/>
    <mergeCell ref="K9:L9"/>
    <mergeCell ref="K10:L10"/>
    <mergeCell ref="K11:L11"/>
    <mergeCell ref="B16:C16"/>
    <mergeCell ref="K16:L16"/>
    <mergeCell ref="K12:L12"/>
    <mergeCell ref="B13:C13"/>
    <mergeCell ref="G13:H13"/>
    <mergeCell ref="G11:H11"/>
    <mergeCell ref="G16:H16"/>
    <mergeCell ref="G17:H17"/>
    <mergeCell ref="G18:H18"/>
    <mergeCell ref="G19:H19"/>
    <mergeCell ref="G20:H20"/>
    <mergeCell ref="K13:L13"/>
    <mergeCell ref="B15:L15"/>
    <mergeCell ref="B11:C11"/>
    <mergeCell ref="B5:C6"/>
    <mergeCell ref="D5:E5"/>
    <mergeCell ref="F5:H5"/>
    <mergeCell ref="I5:J5"/>
    <mergeCell ref="K5:L6"/>
    <mergeCell ref="G6:H6"/>
    <mergeCell ref="B7:L7"/>
    <mergeCell ref="B8:C8"/>
    <mergeCell ref="B9:C9"/>
    <mergeCell ref="P11:R11"/>
    <mergeCell ref="P12:R12"/>
    <mergeCell ref="P13:R13"/>
    <mergeCell ref="P14:R14"/>
    <mergeCell ref="P16:R16"/>
    <mergeCell ref="P17:R17"/>
    <mergeCell ref="P18:R18"/>
    <mergeCell ref="P19:R19"/>
    <mergeCell ref="P20:R20"/>
    <mergeCell ref="P21:R21"/>
    <mergeCell ref="P22:R22"/>
    <mergeCell ref="V6:X6"/>
    <mergeCell ref="V7:X7"/>
    <mergeCell ref="V8:X8"/>
    <mergeCell ref="V9:X9"/>
    <mergeCell ref="V19:W19"/>
    <mergeCell ref="V20:W20"/>
    <mergeCell ref="U12:V12"/>
    <mergeCell ref="U13:V13"/>
    <mergeCell ref="U14:V14"/>
    <mergeCell ref="U15:V15"/>
    <mergeCell ref="U16:V16"/>
    <mergeCell ref="P6:R6"/>
    <mergeCell ref="O7:R7"/>
    <mergeCell ref="O15:R15"/>
    <mergeCell ref="P8:R8"/>
    <mergeCell ref="P9:R9"/>
    <mergeCell ref="P10:R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Cunha</dc:creator>
  <cp:lastModifiedBy>Guilherme Cunha</cp:lastModifiedBy>
  <dcterms:created xsi:type="dcterms:W3CDTF">2022-03-14T22:12:43Z</dcterms:created>
  <dcterms:modified xsi:type="dcterms:W3CDTF">2022-03-20T15:50:02Z</dcterms:modified>
</cp:coreProperties>
</file>